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3"/>
  <workbookPr/>
  <mc:AlternateContent xmlns:mc="http://schemas.openxmlformats.org/markup-compatibility/2006">
    <mc:Choice Requires="x15">
      <x15ac:absPath xmlns:x15ac="http://schemas.microsoft.com/office/spreadsheetml/2010/11/ac" url="/Users/katie.sparks/Downloads/"/>
    </mc:Choice>
  </mc:AlternateContent>
  <xr:revisionPtr revIDLastSave="0" documentId="13_ncr:1_{F541B0CC-74F4-F04F-B408-2B436BAE6F6F}" xr6:coauthVersionLast="45" xr6:coauthVersionMax="45" xr10:uidLastSave="{00000000-0000-0000-0000-000000000000}"/>
  <bookViews>
    <workbookView xWindow="-36680" yWindow="500" windowWidth="33680" windowHeight="19980" activeTab="1" xr2:uid="{00000000-000D-0000-FFFF-FFFF00000000}"/>
  </bookViews>
  <sheets>
    <sheet name="Curriculum Map (KS4)" sheetId="4" r:id="rId1"/>
    <sheet name="KS4 (GCSE Units)" sheetId="9" r:id="rId2"/>
    <sheet name="KS4 (GCSE Specs)" sheetId="10" r:id="rId3"/>
    <sheet name="KS1 (1)" sheetId="11" state="hidden" r:id="rId4"/>
    <sheet name="KS2 (1)" sheetId="12" state="hidden" r:id="rId5"/>
    <sheet name="KS3 (1)" sheetId="13" state="hidden" r:id="rId6"/>
    <sheet name="KS4" sheetId="14" state="hidden" r:id="rId7"/>
    <sheet name="GCSE" sheetId="15" state="hidden" r:id="rId8"/>
  </sheets>
  <definedNames>
    <definedName name="_xlnm._FilterDatabase" localSheetId="2" hidden="1">'KS4 (GCSE Specs)'!$A$2:$W$383</definedName>
    <definedName name="_xlnm._FilterDatabase" localSheetId="1" hidden="1">'KS4 (GCSE Units)'!$A$1:$W$366</definedName>
  </definedNames>
  <calcPr calcId="191029"/>
  <customWorkbookViews>
    <customWorkbookView name="KS1" guid="{1E6AB8B6-9ECB-4410-86D7-C77855B1549C}" maximized="1" windowWidth="0" windowHeight="0" activeSheetId="0"/>
  </customWorkbookViews>
</workbook>
</file>

<file path=xl/calcChain.xml><?xml version="1.0" encoding="utf-8"?>
<calcChain xmlns="http://schemas.openxmlformats.org/spreadsheetml/2006/main">
  <c r="E325" i="15" l="1"/>
  <c r="E324" i="15"/>
  <c r="E323" i="15"/>
  <c r="E322" i="15"/>
  <c r="E321" i="15"/>
  <c r="E320" i="15"/>
  <c r="E319" i="15"/>
  <c r="E318" i="15"/>
  <c r="E317" i="15"/>
  <c r="E316" i="15"/>
  <c r="E315" i="15"/>
  <c r="E314" i="15"/>
  <c r="E313" i="15"/>
  <c r="E312" i="15"/>
  <c r="E311" i="15"/>
  <c r="E310" i="15"/>
  <c r="E309" i="15"/>
  <c r="E308" i="15"/>
  <c r="E307" i="15"/>
  <c r="E306" i="15"/>
  <c r="E305" i="15"/>
  <c r="E304" i="15"/>
  <c r="E303" i="15"/>
  <c r="E302" i="15"/>
  <c r="E301" i="15"/>
  <c r="E300" i="15"/>
  <c r="E299" i="15"/>
  <c r="E298" i="15"/>
  <c r="E297" i="15"/>
  <c r="E296" i="15"/>
  <c r="E295" i="15"/>
  <c r="E294" i="15"/>
  <c r="E293" i="15"/>
  <c r="E292" i="15"/>
  <c r="E291" i="15"/>
  <c r="E290" i="15"/>
  <c r="E289" i="15"/>
  <c r="E288" i="15"/>
  <c r="E287" i="15"/>
  <c r="E286" i="15"/>
  <c r="E285" i="15"/>
  <c r="E284" i="15"/>
  <c r="E283" i="15"/>
  <c r="E282" i="15"/>
  <c r="E281" i="15"/>
  <c r="E280" i="15"/>
  <c r="E279" i="15"/>
  <c r="E278" i="15"/>
  <c r="E277" i="15"/>
  <c r="E276" i="15"/>
  <c r="E275" i="15"/>
  <c r="E274" i="15"/>
  <c r="E273" i="15"/>
  <c r="E272" i="15"/>
  <c r="E271" i="15"/>
  <c r="E270" i="15"/>
  <c r="E269" i="15"/>
  <c r="E268" i="15"/>
  <c r="E267" i="15"/>
  <c r="E266" i="15"/>
  <c r="E265" i="15"/>
  <c r="E264" i="15"/>
  <c r="E263" i="15"/>
  <c r="E262" i="15"/>
  <c r="E261" i="15"/>
  <c r="E260" i="15"/>
  <c r="E259" i="15"/>
  <c r="E258" i="15"/>
  <c r="E257" i="15"/>
  <c r="E256" i="15"/>
  <c r="E255" i="15"/>
  <c r="E254" i="15"/>
  <c r="E253" i="15"/>
  <c r="E252" i="15"/>
  <c r="E251" i="15"/>
  <c r="E250" i="15"/>
  <c r="E249" i="15"/>
  <c r="E248" i="15"/>
  <c r="E247" i="15"/>
  <c r="E246" i="15"/>
  <c r="E245" i="15"/>
  <c r="E244" i="15"/>
  <c r="E243" i="15"/>
  <c r="E242" i="15"/>
  <c r="E241" i="15"/>
  <c r="E240" i="15"/>
  <c r="E239" i="15"/>
  <c r="E238" i="15"/>
  <c r="E237" i="15"/>
  <c r="E236" i="15"/>
  <c r="E235" i="15"/>
  <c r="E234" i="15"/>
  <c r="E233" i="15"/>
  <c r="E232" i="15"/>
  <c r="E231" i="15"/>
  <c r="E230" i="15"/>
  <c r="E229" i="15"/>
  <c r="E228" i="15"/>
  <c r="E227" i="15"/>
  <c r="E226" i="15"/>
  <c r="E225" i="15"/>
  <c r="E224" i="15"/>
  <c r="E223" i="15"/>
  <c r="E222" i="15"/>
  <c r="E221" i="15"/>
  <c r="E220" i="15"/>
  <c r="E219" i="15"/>
  <c r="E218" i="15"/>
  <c r="E217" i="15"/>
  <c r="E216" i="15"/>
  <c r="E215" i="15"/>
  <c r="E214" i="15"/>
  <c r="E213" i="15"/>
  <c r="E212" i="15"/>
  <c r="E211" i="15"/>
  <c r="E210" i="15"/>
  <c r="E209" i="15"/>
  <c r="E208" i="15"/>
  <c r="E207" i="15"/>
  <c r="E206" i="15"/>
  <c r="E205" i="15"/>
  <c r="E204" i="15"/>
  <c r="E203" i="15"/>
  <c r="E202" i="15"/>
  <c r="E201" i="15"/>
  <c r="E200" i="15"/>
  <c r="E199" i="15"/>
  <c r="E198" i="15"/>
  <c r="E197" i="15"/>
  <c r="E196" i="15"/>
  <c r="E195" i="15"/>
  <c r="E194" i="15"/>
  <c r="E193" i="15"/>
  <c r="E192" i="15"/>
  <c r="E191" i="15"/>
  <c r="E190" i="15"/>
  <c r="E189" i="15"/>
  <c r="E188" i="15"/>
  <c r="E187" i="15"/>
  <c r="E186" i="15"/>
  <c r="E185" i="15"/>
  <c r="E184" i="15"/>
  <c r="E183" i="15"/>
  <c r="E182" i="15"/>
  <c r="E181" i="15"/>
  <c r="E180" i="15"/>
  <c r="E179" i="15"/>
  <c r="E178" i="15"/>
  <c r="E177" i="15"/>
  <c r="E176" i="15"/>
  <c r="E175" i="15"/>
  <c r="E174" i="15"/>
  <c r="E173" i="15"/>
  <c r="E172" i="15"/>
  <c r="E171" i="15"/>
  <c r="E170" i="15"/>
  <c r="E169" i="15"/>
  <c r="E168" i="15"/>
  <c r="E167" i="15"/>
  <c r="E166" i="15"/>
  <c r="E165" i="15"/>
  <c r="E164" i="15"/>
  <c r="E163" i="15"/>
  <c r="E162" i="15"/>
  <c r="E161" i="15"/>
  <c r="E160" i="15"/>
  <c r="E159" i="15"/>
  <c r="E158" i="15"/>
  <c r="E157" i="15"/>
  <c r="E156" i="15"/>
  <c r="E155" i="15"/>
  <c r="E154" i="15"/>
  <c r="E153" i="15"/>
  <c r="E152" i="15"/>
  <c r="E151" i="15"/>
  <c r="E150" i="15"/>
  <c r="E149" i="15"/>
  <c r="E148" i="15"/>
  <c r="E147" i="15"/>
  <c r="E146" i="15"/>
  <c r="E145" i="15"/>
  <c r="E144" i="15"/>
  <c r="E143" i="15"/>
  <c r="E142" i="15"/>
  <c r="E141" i="15"/>
  <c r="E140" i="15"/>
  <c r="E139" i="15"/>
  <c r="E138" i="15"/>
  <c r="E137" i="15"/>
  <c r="E136" i="15"/>
  <c r="E135" i="15"/>
  <c r="E134" i="15"/>
  <c r="E133" i="15"/>
  <c r="E132" i="15"/>
  <c r="E131" i="15"/>
  <c r="E130" i="15"/>
  <c r="E129" i="15"/>
  <c r="E128" i="15"/>
  <c r="E127" i="15"/>
  <c r="E126" i="15"/>
  <c r="E125" i="15"/>
  <c r="E124" i="15"/>
  <c r="E123" i="15"/>
  <c r="E122" i="15"/>
  <c r="E121" i="15"/>
  <c r="E120" i="15"/>
  <c r="E119" i="15"/>
  <c r="E118" i="15"/>
  <c r="E117" i="15"/>
  <c r="E116" i="15"/>
  <c r="E115" i="15"/>
  <c r="E114" i="15"/>
  <c r="E113" i="15"/>
  <c r="E112" i="15"/>
  <c r="E111" i="15"/>
  <c r="E110" i="15"/>
  <c r="E109" i="15"/>
  <c r="E108" i="15"/>
  <c r="E107" i="15"/>
  <c r="E106" i="15"/>
  <c r="E105" i="15"/>
  <c r="E104" i="15"/>
  <c r="E103" i="15"/>
  <c r="E102" i="15"/>
  <c r="E101" i="15"/>
  <c r="E100" i="15"/>
  <c r="E99" i="15"/>
  <c r="E98" i="15"/>
  <c r="E97" i="15"/>
  <c r="E96" i="15"/>
  <c r="E95" i="15"/>
  <c r="E94" i="15"/>
  <c r="E93" i="15"/>
  <c r="E92" i="15"/>
  <c r="E91" i="15"/>
  <c r="E90" i="15"/>
  <c r="E89" i="15"/>
  <c r="E88" i="15"/>
  <c r="E87" i="15"/>
  <c r="E86" i="15"/>
  <c r="E85" i="15"/>
  <c r="E84" i="15"/>
  <c r="E83" i="15"/>
  <c r="E82" i="15"/>
  <c r="E81" i="15"/>
  <c r="E80" i="15"/>
  <c r="E79" i="15"/>
  <c r="E78" i="15"/>
  <c r="E77" i="15"/>
  <c r="E76" i="15"/>
  <c r="E75" i="15"/>
  <c r="E74" i="15"/>
  <c r="E73" i="15"/>
  <c r="E72" i="15"/>
  <c r="E71" i="15"/>
  <c r="E70" i="15"/>
  <c r="E69" i="15"/>
  <c r="E68" i="15"/>
  <c r="E67" i="15"/>
  <c r="E66" i="15"/>
  <c r="E65" i="15"/>
  <c r="E64" i="15"/>
  <c r="E63" i="15"/>
  <c r="E62" i="15"/>
  <c r="E61" i="15"/>
  <c r="E60" i="15"/>
  <c r="E59" i="15"/>
  <c r="E58" i="15"/>
  <c r="E57" i="15"/>
  <c r="E56" i="15"/>
  <c r="E55" i="15"/>
  <c r="E54" i="15"/>
  <c r="E53" i="15"/>
  <c r="E52" i="15"/>
  <c r="E51" i="15"/>
  <c r="E50" i="15"/>
  <c r="E49" i="15"/>
  <c r="E48" i="15"/>
  <c r="E47" i="15"/>
  <c r="E46" i="15"/>
  <c r="E45" i="15"/>
  <c r="E44" i="15"/>
  <c r="E43" i="15"/>
  <c r="E42" i="15"/>
  <c r="E41" i="15"/>
  <c r="E40" i="15"/>
  <c r="E39" i="15"/>
  <c r="E38" i="15"/>
  <c r="E37" i="15"/>
  <c r="E36" i="15"/>
  <c r="E35" i="15"/>
  <c r="E34" i="15"/>
  <c r="E33" i="15"/>
  <c r="E32" i="15"/>
  <c r="E31" i="15"/>
  <c r="E30" i="15"/>
  <c r="E29" i="15"/>
  <c r="E28" i="15"/>
  <c r="E27" i="15"/>
  <c r="E26" i="15"/>
  <c r="E25" i="15"/>
  <c r="E24" i="15"/>
  <c r="E23" i="15"/>
  <c r="E22" i="15"/>
  <c r="E21" i="15"/>
  <c r="E20" i="15"/>
  <c r="E19" i="15"/>
  <c r="E18" i="15"/>
  <c r="E17" i="15"/>
  <c r="E16" i="15"/>
  <c r="E15" i="15"/>
  <c r="E14" i="15"/>
  <c r="E13" i="15"/>
  <c r="E12" i="15"/>
  <c r="E11" i="15"/>
  <c r="E10" i="15"/>
  <c r="E9" i="15"/>
  <c r="E8" i="15"/>
  <c r="E7" i="15"/>
  <c r="E6" i="15"/>
  <c r="E5" i="15"/>
  <c r="E4" i="15"/>
  <c r="E3" i="15"/>
  <c r="E2" i="15"/>
  <c r="D129" i="14"/>
  <c r="D128" i="14"/>
  <c r="D127" i="14"/>
  <c r="D126" i="14"/>
  <c r="D125" i="14"/>
  <c r="D124" i="14"/>
  <c r="D123" i="14"/>
  <c r="D122" i="14"/>
  <c r="D121" i="14"/>
  <c r="D120" i="14"/>
  <c r="D119" i="14"/>
  <c r="D118" i="14"/>
  <c r="D117" i="14"/>
  <c r="D116" i="14"/>
  <c r="D115" i="14"/>
  <c r="D114" i="14"/>
  <c r="D113" i="14"/>
  <c r="D112" i="14"/>
  <c r="D111" i="14"/>
  <c r="D110" i="14"/>
  <c r="D109" i="14"/>
  <c r="D108" i="14"/>
  <c r="D107" i="14"/>
  <c r="D106" i="14"/>
  <c r="D105" i="14"/>
  <c r="D104" i="14"/>
  <c r="D103" i="14"/>
  <c r="D102" i="14"/>
  <c r="D101" i="14"/>
  <c r="D100" i="14"/>
  <c r="D99" i="14"/>
  <c r="D98" i="14"/>
  <c r="D97" i="14"/>
  <c r="D96" i="14"/>
  <c r="D95" i="14"/>
  <c r="D94" i="14"/>
  <c r="D93" i="14"/>
  <c r="D92" i="14"/>
  <c r="D91" i="14"/>
  <c r="D90" i="14"/>
  <c r="D89" i="14"/>
  <c r="D88" i="14"/>
  <c r="D87" i="14"/>
  <c r="D86" i="14"/>
  <c r="D85" i="14"/>
  <c r="D84" i="14"/>
  <c r="D83" i="14"/>
  <c r="D82" i="14"/>
  <c r="D81" i="14"/>
  <c r="D80" i="14"/>
  <c r="D79" i="14"/>
  <c r="D78" i="14"/>
  <c r="D77" i="14"/>
  <c r="D76" i="14"/>
  <c r="D75" i="14"/>
  <c r="D74" i="14"/>
  <c r="D73" i="14"/>
  <c r="D72" i="14"/>
  <c r="D71" i="14"/>
  <c r="D70" i="14"/>
  <c r="D69" i="14"/>
  <c r="D68" i="14"/>
  <c r="D67" i="14"/>
  <c r="D66" i="14"/>
  <c r="D65" i="14"/>
  <c r="D64" i="14"/>
  <c r="D63" i="14"/>
  <c r="D62" i="14"/>
  <c r="D61" i="14"/>
  <c r="D60" i="14"/>
  <c r="D59" i="14"/>
  <c r="D58" i="14"/>
  <c r="D57" i="14"/>
  <c r="D56" i="14"/>
  <c r="D55" i="14"/>
  <c r="D54" i="14"/>
  <c r="D53" i="14"/>
  <c r="D52" i="14"/>
  <c r="D51" i="14"/>
  <c r="D50" i="14"/>
  <c r="D49" i="14"/>
  <c r="D48" i="14"/>
  <c r="D47" i="14"/>
  <c r="D46" i="14"/>
  <c r="D45" i="14"/>
  <c r="D44" i="14"/>
  <c r="D43" i="14"/>
  <c r="D42" i="14"/>
  <c r="D41" i="14"/>
  <c r="D40" i="14"/>
  <c r="D39" i="14"/>
  <c r="D38" i="14"/>
  <c r="D37" i="14"/>
  <c r="D36" i="14"/>
  <c r="D35" i="14"/>
  <c r="D34" i="14"/>
  <c r="D33" i="14"/>
  <c r="D32" i="14"/>
  <c r="D31" i="14"/>
  <c r="D30" i="14"/>
  <c r="D29" i="14"/>
  <c r="D28" i="14"/>
  <c r="D27" i="14"/>
  <c r="D26" i="14"/>
  <c r="D25" i="14"/>
  <c r="D24" i="14"/>
  <c r="D23" i="14"/>
  <c r="D22" i="14"/>
  <c r="D21" i="14"/>
  <c r="D20" i="14"/>
  <c r="D19" i="14"/>
  <c r="D18" i="14"/>
  <c r="D17" i="14"/>
  <c r="D16" i="14"/>
  <c r="D15" i="14"/>
  <c r="D14" i="14"/>
  <c r="D13" i="14"/>
  <c r="D12" i="14"/>
  <c r="D11" i="14"/>
  <c r="D10" i="14"/>
  <c r="D9" i="14"/>
  <c r="D8" i="14"/>
  <c r="D7" i="14"/>
  <c r="D6" i="14"/>
  <c r="D5" i="14"/>
  <c r="D4" i="14"/>
  <c r="D3" i="14"/>
  <c r="D2" i="14"/>
  <c r="E292" i="13"/>
  <c r="E291" i="13"/>
  <c r="E290" i="13"/>
  <c r="E289" i="13"/>
  <c r="E288" i="13"/>
  <c r="E287" i="13"/>
  <c r="E286" i="13"/>
  <c r="E285" i="13"/>
  <c r="E284" i="13"/>
  <c r="E283" i="13"/>
  <c r="E282" i="13"/>
  <c r="E281" i="13"/>
  <c r="E280" i="13"/>
  <c r="E279" i="13"/>
  <c r="E278" i="13"/>
  <c r="E277" i="13"/>
  <c r="E276" i="13"/>
  <c r="E275" i="13"/>
  <c r="E274" i="13"/>
  <c r="E273" i="13"/>
  <c r="E272" i="13"/>
  <c r="E271" i="13"/>
  <c r="E270" i="13"/>
  <c r="E269" i="13"/>
  <c r="E268" i="13"/>
  <c r="E267" i="13"/>
  <c r="E266" i="13"/>
  <c r="E265" i="13"/>
  <c r="E264" i="13"/>
  <c r="E263" i="13"/>
  <c r="E262" i="13"/>
  <c r="E261" i="13"/>
  <c r="E260" i="13"/>
  <c r="E259" i="13"/>
  <c r="E258" i="13"/>
  <c r="E257" i="13"/>
  <c r="E256" i="13"/>
  <c r="E255" i="13"/>
  <c r="E254" i="13"/>
  <c r="E253" i="13"/>
  <c r="E252" i="13"/>
  <c r="E251" i="13"/>
  <c r="E250" i="13"/>
  <c r="E249" i="13"/>
  <c r="E248" i="13"/>
  <c r="E247" i="13"/>
  <c r="E246" i="13"/>
  <c r="E245" i="13"/>
  <c r="E244" i="13"/>
  <c r="E243" i="13"/>
  <c r="E242" i="13"/>
  <c r="E241" i="13"/>
  <c r="E240" i="13"/>
  <c r="E239" i="13"/>
  <c r="E238" i="13"/>
  <c r="E237" i="13"/>
  <c r="E236" i="13"/>
  <c r="E235" i="13"/>
  <c r="E234" i="13"/>
  <c r="E233" i="13"/>
  <c r="E232" i="13"/>
  <c r="E231" i="13"/>
  <c r="E230" i="13"/>
  <c r="E229" i="13"/>
  <c r="E228" i="13"/>
  <c r="E227" i="13"/>
  <c r="E226" i="13"/>
  <c r="E225" i="13"/>
  <c r="E224" i="13"/>
  <c r="E223" i="13"/>
  <c r="E222" i="13"/>
  <c r="E221" i="13"/>
  <c r="E220" i="13"/>
  <c r="E219" i="13"/>
  <c r="E218" i="13"/>
  <c r="E217" i="13"/>
  <c r="E216" i="13"/>
  <c r="E215" i="13"/>
  <c r="E214" i="13"/>
  <c r="E213" i="13"/>
  <c r="E212" i="13"/>
  <c r="E211" i="13"/>
  <c r="E210" i="13"/>
  <c r="E209" i="13"/>
  <c r="E208" i="13"/>
  <c r="E207" i="13"/>
  <c r="E206" i="13"/>
  <c r="E205" i="13"/>
  <c r="E204" i="13"/>
  <c r="E203" i="13"/>
  <c r="E202" i="13"/>
  <c r="E201" i="13"/>
  <c r="E200" i="13"/>
  <c r="E199" i="13"/>
  <c r="E198" i="13"/>
  <c r="E197" i="13"/>
  <c r="E196" i="13"/>
  <c r="E195" i="13"/>
  <c r="E194" i="13"/>
  <c r="E193" i="13"/>
  <c r="E192" i="13"/>
  <c r="E191" i="13"/>
  <c r="E190" i="13"/>
  <c r="E189" i="13"/>
  <c r="E188" i="13"/>
  <c r="E187" i="13"/>
  <c r="E186" i="13"/>
  <c r="E185" i="13"/>
  <c r="E184" i="13"/>
  <c r="E183" i="13"/>
  <c r="E182" i="13"/>
  <c r="E181" i="13"/>
  <c r="E180" i="13"/>
  <c r="E179" i="13"/>
  <c r="E178" i="13"/>
  <c r="E177" i="13"/>
  <c r="E176" i="13"/>
  <c r="E175" i="13"/>
  <c r="E174" i="13"/>
  <c r="E173" i="13"/>
  <c r="E172" i="13"/>
  <c r="E171" i="13"/>
  <c r="E170" i="13"/>
  <c r="E169" i="13"/>
  <c r="E168" i="13"/>
  <c r="E167" i="13"/>
  <c r="E166" i="13"/>
  <c r="E165" i="13"/>
  <c r="E164" i="13"/>
  <c r="E163" i="13"/>
  <c r="E162" i="13"/>
  <c r="E161" i="13"/>
  <c r="E160" i="13"/>
  <c r="E159" i="13"/>
  <c r="E158" i="13"/>
  <c r="E157" i="13"/>
  <c r="E156" i="13"/>
  <c r="E155" i="13"/>
  <c r="E154" i="13"/>
  <c r="E153" i="13"/>
  <c r="E152" i="13"/>
  <c r="E151" i="13"/>
  <c r="E150" i="13"/>
  <c r="E149" i="13"/>
  <c r="E148" i="13"/>
  <c r="E147" i="13"/>
  <c r="E146" i="13"/>
  <c r="E145" i="13"/>
  <c r="E144" i="13"/>
  <c r="E143" i="13"/>
  <c r="E142" i="13"/>
  <c r="E141" i="13"/>
  <c r="E140" i="13"/>
  <c r="E139" i="13"/>
  <c r="E138" i="13"/>
  <c r="E137" i="13"/>
  <c r="E136" i="13"/>
  <c r="E135" i="13"/>
  <c r="E134" i="13"/>
  <c r="E133" i="13"/>
  <c r="E132" i="13"/>
  <c r="E131" i="13"/>
  <c r="E130" i="13"/>
  <c r="E129" i="13"/>
  <c r="E128" i="13"/>
  <c r="E127" i="13"/>
  <c r="E126" i="13"/>
  <c r="E125" i="13"/>
  <c r="E124" i="13"/>
  <c r="E123" i="13"/>
  <c r="E122" i="13"/>
  <c r="E121" i="13"/>
  <c r="E120" i="13"/>
  <c r="E119" i="13"/>
  <c r="E118" i="13"/>
  <c r="E117" i="13"/>
  <c r="E116" i="13"/>
  <c r="E115" i="13"/>
  <c r="E114" i="13"/>
  <c r="E113" i="13"/>
  <c r="E112" i="13"/>
  <c r="E111" i="13"/>
  <c r="E110" i="13"/>
  <c r="E109" i="13"/>
  <c r="E108" i="13"/>
  <c r="E107" i="13"/>
  <c r="E106" i="13"/>
  <c r="E105" i="13"/>
  <c r="E104" i="13"/>
  <c r="E103" i="13"/>
  <c r="E102" i="13"/>
  <c r="E101" i="13"/>
  <c r="E100" i="13"/>
  <c r="E99" i="13"/>
  <c r="E98" i="13"/>
  <c r="E97" i="13"/>
  <c r="E96" i="13"/>
  <c r="E95" i="13"/>
  <c r="E94" i="13"/>
  <c r="E93" i="13"/>
  <c r="E92" i="13"/>
  <c r="E91" i="13"/>
  <c r="E90" i="13"/>
  <c r="E89" i="13"/>
  <c r="E88" i="13"/>
  <c r="E87" i="13"/>
  <c r="E86" i="13"/>
  <c r="E85" i="13"/>
  <c r="E84" i="13"/>
  <c r="E83" i="13"/>
  <c r="E82" i="13"/>
  <c r="E81" i="13"/>
  <c r="E80" i="13"/>
  <c r="E79" i="13"/>
  <c r="E78" i="13"/>
  <c r="E77" i="13"/>
  <c r="E76" i="13"/>
  <c r="E75" i="13"/>
  <c r="E74" i="13"/>
  <c r="E73" i="13"/>
  <c r="E72" i="13"/>
  <c r="E71" i="13"/>
  <c r="E70" i="13"/>
  <c r="E69" i="13"/>
  <c r="E68" i="13"/>
  <c r="E67" i="13"/>
  <c r="E66" i="13"/>
  <c r="E65" i="13"/>
  <c r="E64" i="13"/>
  <c r="E63" i="13"/>
  <c r="E62" i="13"/>
  <c r="E61" i="13"/>
  <c r="E60" i="13"/>
  <c r="E59" i="13"/>
  <c r="E58" i="13"/>
  <c r="E57" i="13"/>
  <c r="E56" i="13"/>
  <c r="E55" i="13"/>
  <c r="E54" i="13"/>
  <c r="E53" i="13"/>
  <c r="E52" i="13"/>
  <c r="E51" i="13"/>
  <c r="E50" i="13"/>
  <c r="E49" i="13"/>
  <c r="E48" i="13"/>
  <c r="E47" i="13"/>
  <c r="E46" i="13"/>
  <c r="E45" i="13"/>
  <c r="E44" i="13"/>
  <c r="E43" i="13"/>
  <c r="E42" i="13"/>
  <c r="E41" i="13"/>
  <c r="E40" i="13"/>
  <c r="E39" i="13"/>
  <c r="E38" i="13"/>
  <c r="E37" i="13"/>
  <c r="E36" i="13"/>
  <c r="E35" i="13"/>
  <c r="E34" i="13"/>
  <c r="E33" i="13"/>
  <c r="E32" i="13"/>
  <c r="E31" i="13"/>
  <c r="E30" i="13"/>
  <c r="E29" i="13"/>
  <c r="E28" i="13"/>
  <c r="E27" i="13"/>
  <c r="E26" i="13"/>
  <c r="E25" i="13"/>
  <c r="E24" i="13"/>
  <c r="E23" i="13"/>
  <c r="E22" i="13"/>
  <c r="E21" i="13"/>
  <c r="E20" i="13"/>
  <c r="E19" i="13"/>
  <c r="E18" i="13"/>
  <c r="E17" i="13"/>
  <c r="E16" i="13"/>
  <c r="E15" i="13"/>
  <c r="E14" i="13"/>
  <c r="E13" i="13"/>
  <c r="E12" i="13"/>
  <c r="E11" i="13"/>
  <c r="E10" i="13"/>
  <c r="E9" i="13"/>
  <c r="E8" i="13"/>
  <c r="E7" i="13"/>
  <c r="E6" i="13"/>
  <c r="E5" i="13"/>
  <c r="E4" i="13"/>
  <c r="E3" i="13"/>
  <c r="E2" i="1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Y2" authorId="0" shapeId="0" xr:uid="{00000000-0006-0000-0800-000002000000}">
      <text>
        <r>
          <rPr>
            <sz val="10"/>
            <color rgb="FF000000"/>
            <rFont val="Arial"/>
            <family val="2"/>
            <scheme val="minor"/>
          </rPr>
          <t>Hi @allen.heard@raspberrypi.org, these are the GCSE units with missing tags
	-James Robinson</t>
        </r>
      </text>
    </comment>
    <comment ref="Y194" authorId="0" shapeId="0" xr:uid="{00000000-0006-0000-0800-000001000000}">
      <text>
        <r>
          <rPr>
            <sz val="10"/>
            <color rgb="FF000000"/>
            <rFont val="Arial"/>
            <family val="2"/>
            <scheme val="minor"/>
          </rPr>
          <t>@allen.heard@raspberrypi.org This unit still needs national curriculum tags adding
_Assigned to Allen Heard_
	-James Robinson</t>
        </r>
      </text>
    </comment>
  </commentList>
</comments>
</file>

<file path=xl/sharedStrings.xml><?xml version="1.0" encoding="utf-8"?>
<sst xmlns="http://schemas.openxmlformats.org/spreadsheetml/2006/main" count="10025" uniqueCount="2491">
  <si>
    <t>Teach Computing Curriculum Map</t>
  </si>
  <si>
    <t>Statement Number</t>
  </si>
  <si>
    <t>National Curriculum Statement</t>
  </si>
  <si>
    <t>Teach Computing Taxonomy</t>
  </si>
  <si>
    <t>Abbreviation</t>
  </si>
  <si>
    <t>Strand</t>
  </si>
  <si>
    <t>Description</t>
  </si>
  <si>
    <t>NW</t>
  </si>
  <si>
    <t>Networks</t>
  </si>
  <si>
    <t>Understand how networks can be used to retrieve and share information and come with associated risks</t>
  </si>
  <si>
    <t>CM</t>
  </si>
  <si>
    <t>Creating Media</t>
  </si>
  <si>
    <t>Select and create a range of media including text, images, sounds and video.</t>
  </si>
  <si>
    <t>DI</t>
  </si>
  <si>
    <t>Data &amp; Information</t>
  </si>
  <si>
    <t>How is data stored, organised and used to represent real world artefacts and scenarios</t>
  </si>
  <si>
    <t>DD</t>
  </si>
  <si>
    <t>Design &amp; Deveopment</t>
  </si>
  <si>
    <t>The activities involved in planning, creating and evaluating computing artefacts</t>
  </si>
  <si>
    <t>CS</t>
  </si>
  <si>
    <t>Computing Systems</t>
  </si>
  <si>
    <t>What is a computer, how do it’s constituent parts function together as a whole</t>
  </si>
  <si>
    <t>IT</t>
  </si>
  <si>
    <t>Impact of Technology</t>
  </si>
  <si>
    <t>How individuals, systems and society as a whole interact with computer systems</t>
  </si>
  <si>
    <t>AL</t>
  </si>
  <si>
    <t>Algorithms</t>
  </si>
  <si>
    <t>Being able to comprehend, design, create and evaluate algorithms</t>
  </si>
  <si>
    <t>PG</t>
  </si>
  <si>
    <t>Programming</t>
  </si>
  <si>
    <t>Creating software to allow computers to solve problems</t>
  </si>
  <si>
    <t>To filter a column, click the filter control button in the column header and select the desired data from the drop down menu</t>
  </si>
  <si>
    <t>ET</t>
  </si>
  <si>
    <t>Effective Use of tools</t>
  </si>
  <si>
    <t>Use software tools to support computing work</t>
  </si>
  <si>
    <t>SS</t>
  </si>
  <si>
    <t>Safety &amp; Security</t>
  </si>
  <si>
    <t>Understanding risks when using technology and how to protect individuals and systems</t>
  </si>
  <si>
    <t>Computing systems</t>
  </si>
  <si>
    <r>
      <rPr>
        <sz val="12"/>
        <color theme="1"/>
        <rFont val="Roboto"/>
      </rPr>
      <t xml:space="preserve">Welcome to the Teach Computing Curriculum Map, this document provides an overview of the units and lessons designed for students aged 14-16 (Key Stage 4). Additional mapping documents are available for other ages at </t>
    </r>
    <r>
      <rPr>
        <u/>
        <sz val="12"/>
        <color rgb="FF083C92"/>
        <rFont val="Roboto"/>
      </rPr>
      <t>teachcomputing.org/curriculum</t>
    </r>
    <r>
      <rPr>
        <sz val="12"/>
        <color theme="1"/>
        <rFont val="Roboto"/>
      </rPr>
      <t>.
Use this document to explore the curriculum, how it is structured and most importantly how it meets the objectives of the English national curriculum. You can also use this document to discover how the curriculum content connects to other frameworks such as Education for a connected world and various exam specifications (where relevant).
You are also able to explore progression within the curriculum materials as each objective is mapped to one or more of the 10 strands within our content taxonomy. For example if you want to understand how skills and concepts around networks are developed you can do so, by simply filtering your view to hide all non-network related objectives.
On the next sheet you'll find details of every unit, lesson and learning objective arranged in their suggested teaching order. Every column can be filtered to enable you to focus on what you want.</t>
    </r>
  </si>
  <si>
    <t>develop their capability, creativity and knowledge in computer science, digital media
and information technology</t>
  </si>
  <si>
    <t>develop and apply their analytic, problem-solving, design, and computational thinking
skills</t>
  </si>
  <si>
    <t>understand how changes in technology affect safety, including new ways to protect their online privacy and identity, and how to identify and report a range of concerns.</t>
  </si>
  <si>
    <t>National Curriculum Links</t>
  </si>
  <si>
    <t>Year
Group</t>
  </si>
  <si>
    <t>Suggested Order</t>
  </si>
  <si>
    <t>Unit Name</t>
  </si>
  <si>
    <t>Lesson</t>
  </si>
  <si>
    <t>Learning Objectives</t>
  </si>
  <si>
    <t>Education for a Connected World</t>
  </si>
  <si>
    <t>- Copyright and ownership
- Health, well-being and lifestyle</t>
  </si>
  <si>
    <t>- Copyright and ownership</t>
  </si>
  <si>
    <t>- Privacy and security</t>
  </si>
  <si>
    <t>- Health, well-being and lifestyle</t>
  </si>
  <si>
    <t>- Self-image and identity</t>
  </si>
  <si>
    <t>- Copyright and ownership
- Managing online information</t>
  </si>
  <si>
    <t>- Copyright and ownership
- Self-image and identity</t>
  </si>
  <si>
    <t>- Managing online information
- Online relationships
- Online reputation
- Self-image and identity</t>
  </si>
  <si>
    <t>- Managing online information
- Online reputation</t>
  </si>
  <si>
    <t>- Copyright and ownership
- Online relationships</t>
  </si>
  <si>
    <t>- Online bullying
- Online relationships
- Privacy and security</t>
  </si>
  <si>
    <t>- Managing online information
- Privacy and security</t>
  </si>
  <si>
    <t>- Managing online information
- Online bullying
- Online relationships
- Online reputation
- Privacy and security
- Self-image and identity</t>
  </si>
  <si>
    <t>GCSE Exam Board Topics</t>
  </si>
  <si>
    <t>Missing NC or Tags</t>
  </si>
  <si>
    <t>AQA</t>
  </si>
  <si>
    <t>OCR</t>
  </si>
  <si>
    <t>Edexcel</t>
  </si>
  <si>
    <t>Eduquas</t>
  </si>
  <si>
    <t>Fundamentals of algorithms</t>
  </si>
  <si>
    <t>Computational thinking</t>
  </si>
  <si>
    <t>Systems Analysis</t>
  </si>
  <si>
    <t>Algorithms and constructs</t>
  </si>
  <si>
    <t>Computer systems</t>
  </si>
  <si>
    <t>Systems architecture</t>
  </si>
  <si>
    <t>Computers</t>
  </si>
  <si>
    <t>Hardware</t>
  </si>
  <si>
    <t>Systems architecture
Systems software</t>
  </si>
  <si>
    <t>Hardware
Operating systems</t>
  </si>
  <si>
    <t>Operating systems</t>
  </si>
  <si>
    <t>Memory and storage</t>
  </si>
  <si>
    <t>Computer networks, connections and protocols</t>
  </si>
  <si>
    <t>Boolean logic</t>
  </si>
  <si>
    <t>Logical Operators</t>
  </si>
  <si>
    <t>Programming languages and Integrated Development Environments</t>
  </si>
  <si>
    <t>Principles of programming</t>
  </si>
  <si>
    <t>Fundamentals of data representation</t>
  </si>
  <si>
    <t>Data</t>
  </si>
  <si>
    <t>Data representation and storage</t>
  </si>
  <si>
    <t>- Copyright and ownership
- Privacy and security</t>
  </si>
  <si>
    <t>Program construction</t>
  </si>
  <si>
    <t>Programming fundamentals</t>
  </si>
  <si>
    <t>Problem solving with programming</t>
  </si>
  <si>
    <t>Producing robust programs</t>
  </si>
  <si>
    <t>Software development</t>
  </si>
  <si>
    <t>Algorithms
Programming fundamentals</t>
  </si>
  <si>
    <t>Relational databases and structured query language (SQL)</t>
  </si>
  <si>
    <t>Cyber security</t>
  </si>
  <si>
    <t>Networking and cybersecurity</t>
  </si>
  <si>
    <t>Network security</t>
  </si>
  <si>
    <t>Issues and impact</t>
  </si>
  <si>
    <t>Ethical, legal, cultural and environmental impacts of digital technology</t>
  </si>
  <si>
    <t>Relational databases and structure</t>
  </si>
  <si>
    <t>Impacts of digital technology on wider society</t>
  </si>
  <si>
    <t>Additional programming techniques</t>
  </si>
  <si>
    <t>Teach Computing GCSE Units</t>
  </si>
  <si>
    <t>Exam board</t>
  </si>
  <si>
    <t>Paper</t>
  </si>
  <si>
    <t>Topic</t>
  </si>
  <si>
    <t>Sub-topic</t>
  </si>
  <si>
    <t>Statement</t>
  </si>
  <si>
    <t>Units</t>
  </si>
  <si>
    <t>Algorithms 1</t>
  </si>
  <si>
    <t>Computer Systems</t>
  </si>
  <si>
    <t>Data Representation</t>
  </si>
  <si>
    <t>Algorithms 2</t>
  </si>
  <si>
    <t>Impacts of technology</t>
  </si>
  <si>
    <t>Computer Networks</t>
  </si>
  <si>
    <t>Network Security</t>
  </si>
  <si>
    <t>Databases and SQL</t>
  </si>
  <si>
    <t>Sequence</t>
  </si>
  <si>
    <t>Selection</t>
  </si>
  <si>
    <t>Iteration</t>
  </si>
  <si>
    <t>Subroutines</t>
  </si>
  <si>
    <t>Strings and lists</t>
  </si>
  <si>
    <t>Dictionaries and data files</t>
  </si>
  <si>
    <t>HTML</t>
  </si>
  <si>
    <t>Object-oriented programming</t>
  </si>
  <si>
    <t>AQA.3.1.1.a</t>
  </si>
  <si>
    <t>Paper 1</t>
  </si>
  <si>
    <t>3.1 - Fundamentals of algorithms</t>
  </si>
  <si>
    <t>Representing algorithms</t>
  </si>
  <si>
    <t>Understand and explain the term algorithm.</t>
  </si>
  <si>
    <t>AQA.3.1.1.b</t>
  </si>
  <si>
    <t>Understand and explain the term decomposition.</t>
  </si>
  <si>
    <t>Algorithms 1, Subroutines</t>
  </si>
  <si>
    <t>AQA.3.1.1.c</t>
  </si>
  <si>
    <t>Understand and explain the term abstraction.</t>
  </si>
  <si>
    <t>AQA.3.1.1.d</t>
  </si>
  <si>
    <t>Use a systematic approach to problem solving and algorithm creation representing those algorithms using pseudo-code and flowcharts.</t>
  </si>
  <si>
    <t>Algorithms 1, Dictionaries and datafiles, Flat-file databases, Iteration, Selection, Sequence, Subroutines</t>
  </si>
  <si>
    <t>AQA.3.1.1.e</t>
  </si>
  <si>
    <t>Explain simple algorithms in terms of their inputs, processing and outputs.</t>
  </si>
  <si>
    <t>AQA.3.1.1.f</t>
  </si>
  <si>
    <t>Determine the purpose of simple algorithms.</t>
  </si>
  <si>
    <t>AQA.3.1.2.a</t>
  </si>
  <si>
    <t>Efficiency of algorithms</t>
  </si>
  <si>
    <t>Understand that more than one algorithm can be used to solve the same problem.</t>
  </si>
  <si>
    <t>Algorithms 2, Dictionaries and datafiles</t>
  </si>
  <si>
    <t>AQA.3.1.2.b</t>
  </si>
  <si>
    <t>Compare the efficiency of algorithms explaining 	how some algorithms are more efficient than 	others in solving the same problem.</t>
  </si>
  <si>
    <t>AQA.3.1.3.a</t>
  </si>
  <si>
    <t>Searching algorithms</t>
  </si>
  <si>
    <t>Understand and explain how the linear search algorithm works.</t>
  </si>
  <si>
    <t>AQA.3.1.3.b</t>
  </si>
  <si>
    <t>Understand and explain how the binary search algorithm works.</t>
  </si>
  <si>
    <t>AQA.3.1.3.c</t>
  </si>
  <si>
    <t>Compare and contrast linear and binary search algorithms.</t>
  </si>
  <si>
    <t>AQA.3.1.4.a</t>
  </si>
  <si>
    <t>Sorting algorithms</t>
  </si>
  <si>
    <t>Understand and explain how the merge sort algorithm works.</t>
  </si>
  <si>
    <t>AQA.3.1.4.b</t>
  </si>
  <si>
    <t>Understand and explain how the bubble sort algorithm works.</t>
  </si>
  <si>
    <t>AQA.3.1.4.c</t>
  </si>
  <si>
    <t>Compare and contrast merge sort and bubble sort algorithms.</t>
  </si>
  <si>
    <t>AQA.3.2.1.a</t>
  </si>
  <si>
    <t>3.2 - Programming</t>
  </si>
  <si>
    <t>Data types</t>
  </si>
  <si>
    <t>Understand the concept of a data type.</t>
  </si>
  <si>
    <t>AQA.3.2.1.b</t>
  </si>
  <si>
    <t>Understand and use the following appropriately:
- integer
- real
- Boolean
- character
- string.</t>
  </si>
  <si>
    <t>Databases and SQL, Sequence</t>
  </si>
  <si>
    <t>AQA.3.2.10.a</t>
  </si>
  <si>
    <t>Understand the concept of subroutines</t>
  </si>
  <si>
    <t>AQA.3.2.10.b</t>
  </si>
  <si>
    <t>Explain the advantages of using subroutines in programs.</t>
  </si>
  <si>
    <t>AQA.3.2.10.c</t>
  </si>
  <si>
    <t>Describe the use of parameters to pass data within programs.</t>
  </si>
  <si>
    <t>AQA.3.2.10.d</t>
  </si>
  <si>
    <t>Use subroutines that return values to the calling routine.</t>
  </si>
  <si>
    <t>Strings and lists, Subroutines</t>
  </si>
  <si>
    <t>AQA.3.2.10.e</t>
  </si>
  <si>
    <t>Know that subroutines may declare their own variables, called local variables, and that local variables usually:
-	only exist while the subroutine is executing
-	are only accessible within the subroutine.</t>
  </si>
  <si>
    <t>AQA.3.2.10.f</t>
  </si>
  <si>
    <t>Use local variables and explain why it is good practice to do so.</t>
  </si>
  <si>
    <t>AQA.3.2.10.g</t>
  </si>
  <si>
    <t>Describe the structured approach to programming.</t>
  </si>
  <si>
    <t>AQA.3.2.10.h</t>
  </si>
  <si>
    <t>Explain the advantages of the structured approach.</t>
  </si>
  <si>
    <t>AQA.3.2.11.a</t>
  </si>
  <si>
    <t>Be able to write simple data validation routines.</t>
  </si>
  <si>
    <t>AQA.3.2.11.b</t>
  </si>
  <si>
    <t>Be able to write simple authentication routines.</t>
  </si>
  <si>
    <t>Iteration, Sequence</t>
  </si>
  <si>
    <t>AQA.3.2.11.c</t>
  </si>
  <si>
    <t>Understand what is meant by testing in the context of algorithms and programs.
Be able to correct errors within algorithms and programs.</t>
  </si>
  <si>
    <t>Iteration, Subroutines</t>
  </si>
  <si>
    <t>AQA.3.2.11.d</t>
  </si>
  <si>
    <t>Understand what test data is and describe the following types of test data:
- normal (typical)
- boundary (extreme)
- erroneous data.</t>
  </si>
  <si>
    <t>AQA.3.2.11.e</t>
  </si>
  <si>
    <t>Be able to select and justify the choice of suitable test data for a given problem.</t>
  </si>
  <si>
    <t>Dictionaries and datafiles</t>
  </si>
  <si>
    <t>AQA.3.2.11.f</t>
  </si>
  <si>
    <t>Understand that there are different types of error:
- syntax error
- logic error.</t>
  </si>
  <si>
    <t>AQA.3.2.11.g</t>
  </si>
  <si>
    <t>Be able to identify and categorise errors within algorithms and programs.</t>
  </si>
  <si>
    <t>Algorithms 1, Algorithms 2, Iteration, Sequence</t>
  </si>
  <si>
    <t>AQA.3.2.2.a</t>
  </si>
  <si>
    <t>Programming concepts</t>
  </si>
  <si>
    <t>Use, understand and know how the following statement types can be combined in programs:
- variable declaration
- constant declaration
- assignment
- iteration
- selection
- subroutine (procedure/function)</t>
  </si>
  <si>
    <t>Iteration, Programming I, Selection, Sequence, Subroutines</t>
  </si>
  <si>
    <t>AQA.3.2.2.b</t>
  </si>
  <si>
    <t>Use definite (count controlled) and indefinite (condition controlled) iteration, including indefinite iteration with the condition(s) at the start or the end of the iterative structure.</t>
  </si>
  <si>
    <t>Iteration, Programming I</t>
  </si>
  <si>
    <t>AQA.3.2.2.c</t>
  </si>
  <si>
    <t>Use nested selection and nested iteration structures.</t>
  </si>
  <si>
    <t>AQA.3.2.2.d</t>
  </si>
  <si>
    <t>Use meaningful identifier names and know why it is important to use them.</t>
  </si>
  <si>
    <t>AQA.3.2.3.a</t>
  </si>
  <si>
    <t>Arithmetic operations in a programming language</t>
  </si>
  <si>
    <t>Be familiar with and be able to use:
- addition
- subtraction
- multiplication
- real division
- integer division, including remainders.</t>
  </si>
  <si>
    <t>AQA.3.2.4.a</t>
  </si>
  <si>
    <t>Relational operations in a programming language</t>
  </si>
  <si>
    <t>Be familiar with and be able to use:
-	equal to
-	not equal to
-	less than
-	greater than
-	less than or equal to
-	greater than or equal to.</t>
  </si>
  <si>
    <t>AQA.3.2.5.a</t>
  </si>
  <si>
    <t>Boolean operations in a programming language</t>
  </si>
  <si>
    <t>Be familiar with and be able to use:
-	NOT
-	AND
-	OR.</t>
  </si>
  <si>
    <t>AQA.3.2.6.a</t>
  </si>
  <si>
    <t>Robust and secure programming</t>
  </si>
  <si>
    <t>Understand the concept of data structures.</t>
  </si>
  <si>
    <t>AQA.3.2.6.b</t>
  </si>
  <si>
    <t>Use arrays (or equivalent) in the design of solutions to simple problems.</t>
  </si>
  <si>
    <t>AQA.3.2.6.c</t>
  </si>
  <si>
    <t>Use records (or equivalent) in the design of solutions to simple problems.</t>
  </si>
  <si>
    <t>Dictionaries and datafiles, Strings and lists</t>
  </si>
  <si>
    <t>AQA.3.2.7.a</t>
  </si>
  <si>
    <t>Be able to obtain user input from the keyboard.</t>
  </si>
  <si>
    <t>AQA.3.2.7.b</t>
  </si>
  <si>
    <t>Be able to output data and information from a program to the computer display</t>
  </si>
  <si>
    <t>AQA.3.2.8.a</t>
  </si>
  <si>
    <t>Understand and be able to use:
-	length
-	position
-	substring
-	concatenation
-	convert character to character code
-	convert character code to character
-	string conversion operations.</t>
  </si>
  <si>
    <t>AQA.3.2.9.a</t>
  </si>
  <si>
    <t>Be able to use random number generation.</t>
  </si>
  <si>
    <t>AQA.3.3.1.a</t>
  </si>
  <si>
    <t>Paper 2</t>
  </si>
  <si>
    <t>3.3 - Fundamentals of data representation</t>
  </si>
  <si>
    <t>Number bases</t>
  </si>
  <si>
    <t>Understand the following number bases:
- decimal (base 10)
- binary (base 2)
- hexadecimal (base 16).</t>
  </si>
  <si>
    <t>AQA.3.3.1.b</t>
  </si>
  <si>
    <t>Understand that computers use binary to represent all data and instructions.</t>
  </si>
  <si>
    <t>AQA.3.3.1.c</t>
  </si>
  <si>
    <t>Explain why hexadecimal is often used in computer science.</t>
  </si>
  <si>
    <t>AQA.3.3.2.a</t>
  </si>
  <si>
    <t>Converting between number bases</t>
  </si>
  <si>
    <t>Understand how binary can be used to represent whole numbers.</t>
  </si>
  <si>
    <t>Representations: from clay to silicon</t>
  </si>
  <si>
    <t>AQA.3.3.2.b</t>
  </si>
  <si>
    <t>Understand how hexadecimal can be used to represent whole numbers.</t>
  </si>
  <si>
    <t>AQA.3.3.2.c</t>
  </si>
  <si>
    <t>Be able to convert in both directions between:
- binary and decimal
- binary and hexadecimal
- decimal and hexadecimal.</t>
  </si>
  <si>
    <t>AQA.3.3.3.a</t>
  </si>
  <si>
    <t>Units of information</t>
  </si>
  <si>
    <t>Know that:
- a bit is the fundamental unit of information
- a byte is a group of 8 bits.</t>
  </si>
  <si>
    <t>AQA.3.3.3.b</t>
  </si>
  <si>
    <t>Know that quantities of bytes can be described
using prefixes.
Know the names, symbols and corresponding values for the decimal prefixes:
- kilo, 1 kB is 1,000 bytes
- mega, 1 MB is 1,000 kilobytes
- giga, 1 GB is 1,000 Megabytes
- tera, 1 TB is 1,000 Gigabytes.
Be able to compare quantities of bytes using the prefixes above.</t>
  </si>
  <si>
    <t>AQA.3.3.4.a</t>
  </si>
  <si>
    <t>Binary arithmetic</t>
  </si>
  <si>
    <t>Be able to add together up to three binary numbers.</t>
  </si>
  <si>
    <t>AQA.3.3.4.b</t>
  </si>
  <si>
    <t>Be able to apply a binary shift to a binary number.</t>
  </si>
  <si>
    <t>AQA.3.3.4.c</t>
  </si>
  <si>
    <t>Describe situations where binary shifts can be used.</t>
  </si>
  <si>
    <t>AQA.3.3.5.a</t>
  </si>
  <si>
    <t>Character encoding</t>
  </si>
  <si>
    <t>Understand what a character set is and be able to describe the following character encoding methods:
- 7-bit ASCII
- Unicode.</t>
  </si>
  <si>
    <t>AQA.3.3.5.b</t>
  </si>
  <si>
    <t>Understand that character codes are commonly grouped and run in sequence within encoding tables.</t>
  </si>
  <si>
    <t>AQA.3.3.5.c</t>
  </si>
  <si>
    <t>Describe the purpose of Unicode and the advantages of Unicode over ASCII.
Know that Unicode uses the same codes as ASCII up to 127.</t>
  </si>
  <si>
    <t>AQA.3.3.6.a</t>
  </si>
  <si>
    <t>Representing images</t>
  </si>
  <si>
    <t>Understand what a pixel is and be able to describe how pixels relate to an image and the way images are displayed.</t>
  </si>
  <si>
    <t>AQA.3.3.6.b</t>
  </si>
  <si>
    <t>Describe the following for bitmaps:
- image size
- colour depth.
Know that the size of a bitmap image in pixels (width x height) is known as the image resolution.</t>
  </si>
  <si>
    <t>AQA.3.3.6.c</t>
  </si>
  <si>
    <t>Describe how a bitmap represents an image using pixels and colour depth.</t>
  </si>
  <si>
    <t>AQA.3.3.6.d</t>
  </si>
  <si>
    <t>Describe using examples how the number of pixels and colour depth can affect the file size of a bitmap image.</t>
  </si>
  <si>
    <t>AQA.3.3.6.e</t>
  </si>
  <si>
    <t>Calculate bitmap image file sizes based on the number of pixels and colour depth.</t>
  </si>
  <si>
    <t>AQA.3.3.6.f</t>
  </si>
  <si>
    <t>Convert binary data into a bitmap image.</t>
  </si>
  <si>
    <t>AQA.3.3.6.g</t>
  </si>
  <si>
    <t>Convert a bitmap image into binary data.</t>
  </si>
  <si>
    <t>AQA.3.3.7.a</t>
  </si>
  <si>
    <t>Representing sound</t>
  </si>
  <si>
    <t>Understand that sound is analogue and that it must be converted to a digital form for storage and processing in a computer.</t>
  </si>
  <si>
    <t>AQA.3.3.7.b</t>
  </si>
  <si>
    <t>Understand that sound waves are sampled to create the digital version of sound.</t>
  </si>
  <si>
    <t>AQA.3.3.7.c</t>
  </si>
  <si>
    <t>Describe the digital representation of sound in terms of:
- sampling rate
- sample resolution.</t>
  </si>
  <si>
    <t>AQA.3.3.7.d</t>
  </si>
  <si>
    <t>Calculate sound file sizes based on the sampling rate and the sample resolution.</t>
  </si>
  <si>
    <t>AQA.3.3.8.a</t>
  </si>
  <si>
    <t>Data compression</t>
  </si>
  <si>
    <t>Explain what data compression is.
Understand why data may be compressed and that there are different ways to compress data.</t>
  </si>
  <si>
    <t>AQA.3.3.8.b</t>
  </si>
  <si>
    <t>Explain how data can be compressed using
Huffman coding.
Be able to interpret Huffman trees.</t>
  </si>
  <si>
    <t>AQA.3.3.8.c</t>
  </si>
  <si>
    <t>Be able to calculate the number of bits required to store a piece of data compressed using Huffman coding.
Be able to calculate the number of bits required to store a piece of uncompressed data in ASCII.</t>
  </si>
  <si>
    <t>AQA.3.3.8.d</t>
  </si>
  <si>
    <t>Explain how data can be compressed using run length encoding (RLE).</t>
  </si>
  <si>
    <t>AQA.3.3.8.e</t>
  </si>
  <si>
    <t>Represent data in RLE frequency/data pairs.</t>
  </si>
  <si>
    <t>AQA.3.4.1.a</t>
  </si>
  <si>
    <t>3.4 - Computer systems</t>
  </si>
  <si>
    <t>Hardware and software</t>
  </si>
  <si>
    <t>Define the terms hardware and software and understand the relationship between them.</t>
  </si>
  <si>
    <t>AQA.3.4.2.a</t>
  </si>
  <si>
    <t>Construct truth tables for the following gates:
NOT
AND
OR
XOR.</t>
  </si>
  <si>
    <t>Computer Systems, Subroutines</t>
  </si>
  <si>
    <t>AQA.3.4.2.b</t>
  </si>
  <si>
    <t>Construct truth tables for simple logic circuits using combinations of NOT, AND, OR and XOR gates.
Interpret the results of simple truth tables.</t>
  </si>
  <si>
    <t>AQA.3.4.2.c</t>
  </si>
  <si>
    <t>Create, modify and interpret simple logic circuit diagrams.
Students will only need to use NOT, AND, OR and XOR gates within logic circuits.
Students will be expected to understand and use the following logic circuit symbols:
AND
NOT
OR
XOR</t>
  </si>
  <si>
    <t>AQA.3.4.2.d</t>
  </si>
  <si>
    <t>Create and interpret simple Boolean expressions made up of NOT, AND, OR and XOR operations.</t>
  </si>
  <si>
    <t>AQA.3.4.2.e</t>
  </si>
  <si>
    <t>Create the Boolean expression for a simple logic circuit.
Create a logic circuit from a simple Boolean expression.</t>
  </si>
  <si>
    <t>AQA.3.4.3.a</t>
  </si>
  <si>
    <t>Software classification</t>
  </si>
  <si>
    <t>Explain what is meant by:
system software
application software.
Give examples of both types of software.</t>
  </si>
  <si>
    <t>Animations</t>
  </si>
  <si>
    <t>AQA.3.4.3.b</t>
  </si>
  <si>
    <t>Understand the need for, and functions of, operating systems (OS) and utility programs.
Understand that the OS handles management of the:
processor(s)
memory
input/output I/O devices
applications
security</t>
  </si>
  <si>
    <t>AQA.3.4.4.a</t>
  </si>
  <si>
    <t>Classification of programming languages and translators</t>
  </si>
  <si>
    <t>Know that there are different levels of programming language:
- low-level language
- high-level language.
Explain the main differences between low-level and high-level languages.</t>
  </si>
  <si>
    <t>AQA.3.4.4.b</t>
  </si>
  <si>
    <t>Know that machine code and assembly language are considered to be low-level languages and explain the differences between them.</t>
  </si>
  <si>
    <t>AQA.3.4.4.c</t>
  </si>
  <si>
    <t>Understand that ultimately all programming code written in high-level or assembly languages must be translated
Understand that machine code is expressed in binary and is specific to a processor or family of processors.</t>
  </si>
  <si>
    <t>AQA.3.4.4.d</t>
  </si>
  <si>
    <t>Understand the advantages and disadvantages of low-level language programming compared with high-level language programming.</t>
  </si>
  <si>
    <t>AQA.3.4.4.e</t>
  </si>
  <si>
    <t>Understand that there are three common types of program translator:
-	interpreter
-	compiler
-	assembler.
Explain the main differences between these three types of translator.
Understand when it would be appropriate to use each type of translator.</t>
  </si>
  <si>
    <t>AQA.3.4.5.a</t>
  </si>
  <si>
    <t>Explain the role and operation of main memory and the following major components of a central processing unit (CPU):
- arithmetic logic unit
- control unit
- clock
- register
- bus.</t>
  </si>
  <si>
    <t>AQA.3.4.5.b</t>
  </si>
  <si>
    <t>Explain the effect of the following on the
performance of the CPU:
- clock speed
- number of processor cores
- cache size.</t>
  </si>
  <si>
    <t>AQA.3.4.5.c</t>
  </si>
  <si>
    <t>Understand and explain the Fetch-Execute cycle</t>
  </si>
  <si>
    <t>AQA.3.4.5.d</t>
  </si>
  <si>
    <t>Understand the different types of memory within a computer:
- RAM
- ROM
- Cache
- Register.
Know what the different types of memory are used for and why they are required.</t>
  </si>
  <si>
    <t>AQA.3.4.5.e</t>
  </si>
  <si>
    <t>Understand the differences between main
memory and secondary storage.
Understand the differences between RAM and ROM.</t>
  </si>
  <si>
    <t>AQA.3.4.5.f</t>
  </si>
  <si>
    <t>Understand why secondary storage is required</t>
  </si>
  <si>
    <t>AQA.3.4.5.g</t>
  </si>
  <si>
    <t>Be aware of different types of secondary storage (solid state, optical and magnetic).
Explain the operation of solid state, optical and magnetic storage.
Discuss the advantages and disadvantages of solid state, optical and magnetic storage.</t>
  </si>
  <si>
    <t>AQA.3.4.5.h</t>
  </si>
  <si>
    <t>Explain the term 'cloud storage'</t>
  </si>
  <si>
    <t>AQA.3.4.5.i</t>
  </si>
  <si>
    <t>Explain the advantages and disadvantages of cloud storage when compared to local storage.</t>
  </si>
  <si>
    <t>AQA.3.4.5.j</t>
  </si>
  <si>
    <t>Understand the term 'embedded system' and explain how an embedded system differs from a non-embedded system.</t>
  </si>
  <si>
    <t>AQA.3.5.1.a</t>
  </si>
  <si>
    <t>Define what a computer network is.
Discuss the advantages and disadvantages of computer
networks.</t>
  </si>
  <si>
    <t>Computer Systems, Networks</t>
  </si>
  <si>
    <t>AQA.3.5.1.b</t>
  </si>
  <si>
    <t>Describe the main types of computer network including:
- Personal Area Network (PAN)
- Local Area Network (LAN)
- Wide Area Network (WAN).</t>
  </si>
  <si>
    <t>AQA.3.5.1.c</t>
  </si>
  <si>
    <t>Understand that networks can be wired or
wireless.
Discuss the advantages and disadvantages of wireless networks as opposed to wired networks.</t>
  </si>
  <si>
    <t>AQA.3.5.1.d</t>
  </si>
  <si>
    <t>Explain the following common network topologies:
- star
- bus.</t>
  </si>
  <si>
    <t>AQA.3.5.1.e</t>
  </si>
  <si>
    <t>Define the term ‘network protocol’.</t>
  </si>
  <si>
    <t>AQA.3.5.1.f</t>
  </si>
  <si>
    <t>Explain the purpose and use of common network protocols including:
- Ethernet
- Wi-Fi
- TCP (Transmission Control Protocol)
- UDP (User Datagram Protocol)
- IP (Internet Protocol)
- HTTP (Hypertext Transfer Protocol)
- HTTPS (Hypertext Transfer Protocol Secure)
- FTP (File Transfer Protocol)
- email protocols:
 - SMTP (Simple Mail Transfer Protocol)
 - IMAP (Internet Message Access Protocol).</t>
  </si>
  <si>
    <t>AQA.3.5.1.g</t>
  </si>
  <si>
    <t>Understand the need for, and importance of, network security.</t>
  </si>
  <si>
    <t>Networks, Security</t>
  </si>
  <si>
    <t>AQA.3.5.1.h</t>
  </si>
  <si>
    <t>Explain the following methods of network security:
- authentication
- encryption
- firewall
- MAC address filtering.</t>
  </si>
  <si>
    <t>AQA.3.5.1.i</t>
  </si>
  <si>
    <t>Describe the 4 layer TCP/IP model:
- application layer
- transport layer
- internet layer
- link layer.
Understand that the HTTP, HTTPS, SMTP, IMAP and FTP protocols operate at the application layer.
Understand that the TCP and UDP protocols operate at the transport layer.
Understand that the IP protocol operates at the internet layer.</t>
  </si>
  <si>
    <t>AQA.3.6.1.a</t>
  </si>
  <si>
    <t>3.6 - Cyber security</t>
  </si>
  <si>
    <t>Fundamentals of cyber security</t>
  </si>
  <si>
    <t>Be able to define the term cyber security and be able to describe the main purposes of cyber security.</t>
  </si>
  <si>
    <t>AQA.3.6.2.1</t>
  </si>
  <si>
    <t>Cyber security threats</t>
  </si>
  <si>
    <t>Define the term social engineering.
Describe what social engineering is and how it can be protected against.
Explain the following forms of social engineering:
- blagging (pretexting)
- phishing
- shouldering (or shoulder surfing).</t>
  </si>
  <si>
    <t>Security</t>
  </si>
  <si>
    <t>AQA.3.6.2.2</t>
  </si>
  <si>
    <t>Define the term 'malware'.
Describe what malware is and how it can be protected against.
Describe the following forms of malware:
- computer virus
- trojan
- spyware.</t>
  </si>
  <si>
    <t>AQA.3.6.2.a</t>
  </si>
  <si>
    <t>Understand and be able to explain the following cyber security threats:
- social engineering techniques
- malicious code
- pharming
- weak and default passwords
- misconfigured access rights
- removable media
- unpatched and/or outdated software.</t>
  </si>
  <si>
    <t>AQA.3.6.2.b</t>
  </si>
  <si>
    <t>Explain what penetration testing is and what it is used for.</t>
  </si>
  <si>
    <t>AQA.3.6.3.a</t>
  </si>
  <si>
    <t>Methods to detect and prevent cyber security threats</t>
  </si>
  <si>
    <t>Understand and be able to explain the following security measures:
- biometric measures (particularly for mobile devices)
- password systems
- CAPTCHA (or similar)
- using email confirmations to confirm a user’s identity
- automatic software updates.</t>
  </si>
  <si>
    <t>AQA.3.7.1.a</t>
  </si>
  <si>
    <t>3.7 - Relational databases and structured query language (SQL)</t>
  </si>
  <si>
    <t>Relational databases</t>
  </si>
  <si>
    <t>Explain the concept of a database.</t>
  </si>
  <si>
    <t>AQA.3.7.1.b</t>
  </si>
  <si>
    <t>Explain the concept of a relational database.</t>
  </si>
  <si>
    <t>AQA.3.7.1.c</t>
  </si>
  <si>
    <t>Understand the following database concepts:
- table
- record
- field
- primary key
- foreign key.
Understand that the use of a relational database facilitates the elimination of data inconsistency and data redundancy.</t>
  </si>
  <si>
    <t>AQA.3.7.2.a</t>
  </si>
  <si>
    <t>Structured query language (SQL)</t>
  </si>
  <si>
    <t>Be able to use SQL to retrieve data from a relational database, using the commands:
 - SELECT
 - FROM
 - WHERE
 - ORDER BY…ASC | DESC</t>
  </si>
  <si>
    <t>AQA.3.7.2.b</t>
  </si>
  <si>
    <t>Be able to use SQL to insert data into a relational database using the commands.
 INSERT INTO table_name (column1, column 2 …)
 VALUES (value1, value2 …)</t>
  </si>
  <si>
    <t>Databases and SQL, Subroutines</t>
  </si>
  <si>
    <t>AQA.3.7.2.c</t>
  </si>
  <si>
    <t>Be able to use SQL to edit and delete data in a database using the commands.
 UPDATE table_name
 SET column1 = value1, column2 = value2 ...
 WHERE condition
 DELETE FROM table_name WHERE condition</t>
  </si>
  <si>
    <t>AQA.3.8.1.a</t>
  </si>
  <si>
    <t>Explain the current ethical, legal and environmental impacts and risks of digital technology on society. Where data privacy issues arise these should be considered.</t>
  </si>
  <si>
    <t>Impacts of technology, Security</t>
  </si>
  <si>
    <t>Edexcel.1.1.1</t>
  </si>
  <si>
    <t>1CP2/01</t>
  </si>
  <si>
    <t>1 - Computational thinking</t>
  </si>
  <si>
    <t>Decomposition and abstraction</t>
  </si>
  <si>
    <t>understand the benefit of using decomposition and abstraction to model aspects of the real world and analyse, understand and solve problems</t>
  </si>
  <si>
    <t>Edexcel.1.1.2</t>
  </si>
  <si>
    <t>understand the benefits of using subprograms</t>
  </si>
  <si>
    <t>Edexcel.1.2.1</t>
  </si>
  <si>
    <t>be able to follow and write algorithms (flowcharts, pseudocode*, program code) that use sequence, selection, repetition (count-controlled, condition-controlled) and iteration (over every item in a data structure), and input, processing and output to solve problems</t>
  </si>
  <si>
    <t>Algorithms 1, Dictionaries and datafiles</t>
  </si>
  <si>
    <t>Edexcel.1.2.2</t>
  </si>
  <si>
    <t>understand the need for and be able to follow and write algorithms that use variables and constants and one- and two-dimensional data structures (strings, records, arrays)</t>
  </si>
  <si>
    <t>Dictionaries and datafiles, Sequence, Strings and lists, Subroutines</t>
  </si>
  <si>
    <t>Edexcel.1.2.3</t>
  </si>
  <si>
    <t>understand the need for and be able to follow and write algorithms that use arithmetic operators (addition, subtraction, division, multiplication, modulus, integer division, exponentiation), relational operators (equal to, less than, greater than, not equal to, less than or equal to, greater than or equal to) and logical operators (AND, OR, NOT)</t>
  </si>
  <si>
    <t>Edexcel.1.2.4</t>
  </si>
  <si>
    <t>be able to determine the correct output of an algorithm for a given set of data and use a trace table to determine what value a variable will hold at a given point in an algorithm</t>
  </si>
  <si>
    <t>Algorithms 1, Iteration</t>
  </si>
  <si>
    <t>Edexcel.1.2.5</t>
  </si>
  <si>
    <t>understand types of errors that can occur in programs (syntax, logic, runtime) and be able to identify and correct logic errors in algorithms</t>
  </si>
  <si>
    <t>Edexcel.1.2.6</t>
  </si>
  <si>
    <t>understand how standard algorithms (bubble sort, merge sort, linear search, binary search) work</t>
  </si>
  <si>
    <t>Edexcel.1.2.7</t>
  </si>
  <si>
    <t>be able to use logical reasoning and test data to evaluate an algorithm’s fitness for purpose and efficiency (number of compares, number of passes through a loop, use of memory)</t>
  </si>
  <si>
    <t>Edexcel.1.3.1</t>
  </si>
  <si>
    <t>Truth tables</t>
  </si>
  <si>
    <t>be able to apply logical operators (AND, OR, NOT) in truth tables with up to three inputs to solve problems</t>
  </si>
  <si>
    <t>Edexcel.2.1.1</t>
  </si>
  <si>
    <t>2 - Data</t>
  </si>
  <si>
    <t>Binary</t>
  </si>
  <si>
    <t>understand that computers use binary to represent data (numbers, text, sound, graphics) and program instructions and be able to determine the maximum number of states that can be represented by a binary pattern of a given length</t>
  </si>
  <si>
    <t>Edexcel.2.1.2</t>
  </si>
  <si>
    <t>understand how computers represent and manipulate unsigned integers and two’s complement signed integers</t>
  </si>
  <si>
    <t>Edexcel.2.1.3</t>
  </si>
  <si>
    <t>be able to convert between denary and 8-bit binary numbers (0 – 255, -127 – 128)</t>
  </si>
  <si>
    <t>Edexcel.2.1.4</t>
  </si>
  <si>
    <t>be able to add together two positive binary patterns and apply logical and arithmetic binary shifts</t>
  </si>
  <si>
    <t>Edexcel.2.1.5</t>
  </si>
  <si>
    <t>understand the concept of overflow in relation to the number of bits available to store a value</t>
  </si>
  <si>
    <t>Edexcel.2.1.6</t>
  </si>
  <si>
    <t>understand why hexadecimal notation is used and be able to convert between hexadecimal and binary</t>
  </si>
  <si>
    <t>Edexcel.2.2.1</t>
  </si>
  <si>
    <t>Data representation</t>
  </si>
  <si>
    <t>understand how computers encode characters using 7-bit ASCII</t>
  </si>
  <si>
    <t>Edexcel.2.2.2</t>
  </si>
  <si>
    <t>understand how bitmap images are represented in binary (pixels, resolution, colour depth)</t>
  </si>
  <si>
    <t>Edexcel.2.2.3</t>
  </si>
  <si>
    <t>understand how analogue sound is represented in binary (amplitude, sample rate, bit depth, sample interval)</t>
  </si>
  <si>
    <t>Edexcel.2.2.4</t>
  </si>
  <si>
    <t>understand the limitations of binary representation of data when constrained by the number of available bits</t>
  </si>
  <si>
    <t>Edexcel.2.3.1</t>
  </si>
  <si>
    <t>Data storage and compression</t>
  </si>
  <si>
    <t>understand that data storage is measured in binary multiples (bit, nibble, byte, kibibyte, mebibyte, gibibyte, tebibyte) and be able to construct expressions to calculate file sizes and data capacity requirements</t>
  </si>
  <si>
    <t>Edexcel.2.3.2</t>
  </si>
  <si>
    <t>understand the need for data compression and methods of compressing data (lossless, lossy)</t>
  </si>
  <si>
    <t>Edexcel.3.1.1</t>
  </si>
  <si>
    <t>3 - Computers</t>
  </si>
  <si>
    <t>understand the von Neumann stored program concept and the role of main memory (RAM), CPU (control unit, arithmetic logic unit, registers), clock, address bus, data bus, control bus in the fetch-decode-execute cycle</t>
  </si>
  <si>
    <t>Edexcel.3.1.2</t>
  </si>
  <si>
    <t>understand the role of secondary storage and the ways in which data is stored on devices (magnetic, optical, solid state)</t>
  </si>
  <si>
    <t>Edexcel.3.1.3</t>
  </si>
  <si>
    <t>understand the concept of an embedded system and what embedded systems are used for</t>
  </si>
  <si>
    <t>Edexcel.3.2.1</t>
  </si>
  <si>
    <t>Software</t>
  </si>
  <si>
    <t>understand the purpose and functionality of an operating system (file management, process management, peripheral management, user management)</t>
  </si>
  <si>
    <t>Edexcel.3.2.2</t>
  </si>
  <si>
    <t>understand the purpose and functionality of utility software (file repair, backup, data compression, disc defragmentation, anti-malware)</t>
  </si>
  <si>
    <t>Edexcel.3.2.3</t>
  </si>
  <si>
    <t>understand the importance of developing robust software and methods of identifying vulnerabilities (audit trails, code reviews)</t>
  </si>
  <si>
    <t>Edexcel.3.3.1</t>
  </si>
  <si>
    <t>Programming languages</t>
  </si>
  <si>
    <t>understand the characteristics and purposes of low-level and high-level programming languages</t>
  </si>
  <si>
    <t>Edexcel.3.3.2</t>
  </si>
  <si>
    <t>understand how an interpreter differs from a compiler in the way it translates high-level code into machine code</t>
  </si>
  <si>
    <t>Online Safety, Sequence</t>
  </si>
  <si>
    <t>Edexcel.4.1.1</t>
  </si>
  <si>
    <t>4 - Networks</t>
  </si>
  <si>
    <t>understand why computers are connected in a network</t>
  </si>
  <si>
    <t>Edexcel.4.1.2</t>
  </si>
  <si>
    <t>understand different types of networks (LAN, WAN)</t>
  </si>
  <si>
    <t>Edexcel.4.1.3</t>
  </si>
  <si>
    <t>understand how the internet is structured (IP addressing, routers)</t>
  </si>
  <si>
    <t>Edexcel.4.1.4</t>
  </si>
  <si>
    <t>understand how the characteristics of wired and wireless connectivity impact on performance (speed, range, latency, bandwidth)</t>
  </si>
  <si>
    <t>Edexcel.4.1.5</t>
  </si>
  <si>
    <t>understand that network speeds are measured in bits per second (kilobit, megabit, gigabit) and be able to construct expressions involving file size, transmission rate and time</t>
  </si>
  <si>
    <t>Edexcel.4.1.6</t>
  </si>
  <si>
    <t>understand the role of and need for network protocols (Ethernet, Wi-Fi, TCP/IP, HTTP, HTTPS, FTP and email protocols (POP3, SMTP, IMAP))</t>
  </si>
  <si>
    <t>Edexcel.4.1.7</t>
  </si>
  <si>
    <t>understand how the 4-layer (application, transport, internet, link) TCP/IP model handles data transmission over a network</t>
  </si>
  <si>
    <t>Edexcel.4.1.8</t>
  </si>
  <si>
    <t>understand characteristics of network topologies (bus, star, mesh)</t>
  </si>
  <si>
    <t>Edexcel.4.2.1</t>
  </si>
  <si>
    <t>understand the importance of network security, ways of identifying network vulnerabilities (penetration testing, ethical hacking) and methods of protecting networks (access control, physical security, firewalls)</t>
  </si>
  <si>
    <t>Edexcel.5.1.1</t>
  </si>
  <si>
    <t>5 - Issues and impact</t>
  </si>
  <si>
    <t>Environmental</t>
  </si>
  <si>
    <t>understand environmental issues associated with the use of digital devices (energy consumption, manufacture, replacement cycle, disposal)</t>
  </si>
  <si>
    <t>Edexcel.5.2.1</t>
  </si>
  <si>
    <t>Ethical and legal</t>
  </si>
  <si>
    <t>understand ethical and legal issues associated with the collection and use of personal data (privacy, ownership, consent, misuse, data protection)</t>
  </si>
  <si>
    <t>Edexcel.5.2.2</t>
  </si>
  <si>
    <t>understand ethical and legal issues associated with the use of artificial intelligence, machine learning and robotics (accountability, safety, algorithmic bias, legal liability)</t>
  </si>
  <si>
    <t>Edexcel.5.2.3</t>
  </si>
  <si>
    <t>understand methods of intellectual property protection for computer systems and software (copyright, patents, trademarks, licencing)</t>
  </si>
  <si>
    <t>Edexcel.5.3.1</t>
  </si>
  <si>
    <t>Cybersecurity</t>
  </si>
  <si>
    <t>understand the threat to digital systems posed by malware (viruses, worms, Trojans, ransomware, key loggers) and how hackers exploit technical vulnerabilities (unpatched software, out-of-date anti-malware) and use social engineering to carry out cyberattacks</t>
  </si>
  <si>
    <t>Edexcel.5.3.2</t>
  </si>
  <si>
    <t>understand methods of protecting digital systems and data (anti-malware, encryption, acceptable use policies, backup and recovery procedures)</t>
  </si>
  <si>
    <t>Edexcel.6.1.1</t>
  </si>
  <si>
    <t>1CP2/02</t>
  </si>
  <si>
    <t>6 - Problem solving with programming</t>
  </si>
  <si>
    <t>Develop code</t>
  </si>
  <si>
    <t>be able to use decomposition and abstraction to analyse, understand and solve problems</t>
  </si>
  <si>
    <t>Edexcel.6.1.2</t>
  </si>
  <si>
    <t>be able to read, write, analyse and refine programs written in a high-level programming language</t>
  </si>
  <si>
    <t>Dictionaries and datafiles, Subroutines</t>
  </si>
  <si>
    <t>Edexcel.6.1.3</t>
  </si>
  <si>
    <t>be able to convert algorithms (flowcharts, pseudocode) into programs and convert programs</t>
  </si>
  <si>
    <t>Iteration, Selection, Sequence</t>
  </si>
  <si>
    <t>Edexcel.6.1.4</t>
  </si>
  <si>
    <t>be able to use techniques (layout, indentation, comments, meaningful identifiers, white space) to make programs easier to read, understand and maintain</t>
  </si>
  <si>
    <t>Edexcel.6.1.5</t>
  </si>
  <si>
    <t>be able to identify, locate and correct program errors (logic, syntax, runtime)</t>
  </si>
  <si>
    <t>Edexcel.6.1.6</t>
  </si>
  <si>
    <t>be able to use logical reasoning and test data to evaluate a program’s fitness for purpose and efficiency (number of compares, number of passes through a loop, use of memory)</t>
  </si>
  <si>
    <t>Edexcel.6.2.1</t>
  </si>
  <si>
    <t>Constructs</t>
  </si>
  <si>
    <t>understand the function of and be able to identify the structural components of programs (constants, variables, initialisation and assignment statements, command sequences, selection, repetition, iteration, data structures, subprograms, parameters, input/output)</t>
  </si>
  <si>
    <t>Edexcel.6.2.2</t>
  </si>
  <si>
    <t>be able to write programs that make appropriate use of sequencing, selection, repetition (count-controlled, condition controlled), iteration (over every item in a data structure) and single entry/exit points from code blocks and subprograms</t>
  </si>
  <si>
    <t>Iteration, Selection, Subroutines</t>
  </si>
  <si>
    <t>Edexcel.6.3.1</t>
  </si>
  <si>
    <t>Data types and structures</t>
  </si>
  <si>
    <t>be able to write programs that make appropriate use of primitive data types (integer, real, Boolean, char) and one- and two-dimensional structured data types (string, array, record)</t>
  </si>
  <si>
    <t>Sequence, Strings and lists</t>
  </si>
  <si>
    <t>Edexcel.6.3.2</t>
  </si>
  <si>
    <t>be able to write programs that make appropriate use of variables and constants</t>
  </si>
  <si>
    <t>Sequence, Subroutines</t>
  </si>
  <si>
    <t>Edexcel.6.3.3</t>
  </si>
  <si>
    <t>be able to write programs that manipulate strings (length, position, substrings, case conversion)</t>
  </si>
  <si>
    <t>Edexcel.6.4.1</t>
  </si>
  <si>
    <t>Input/output</t>
  </si>
  <si>
    <t>be able to write programs that accept and respond appropriately to user input</t>
  </si>
  <si>
    <t>Selection, Sequence</t>
  </si>
  <si>
    <t>Edexcel.6.4.2</t>
  </si>
  <si>
    <t>be able to write programs that read from and write to comma separated value text files</t>
  </si>
  <si>
    <t>Dictionaries and datafiles, Flat-file databases</t>
  </si>
  <si>
    <t>Edexcel.6.4.3</t>
  </si>
  <si>
    <t>understand the need for and be able to write programs that implement validation (length check, presence check, range check, pattern check)</t>
  </si>
  <si>
    <t>Edexcel.6.4.4</t>
  </si>
  <si>
    <t>understand the need for and be able to write programs that implement authentication (ID and password, lookup)</t>
  </si>
  <si>
    <t>Edexcel.6.5.1</t>
  </si>
  <si>
    <t>Operators</t>
  </si>
  <si>
    <t>be able to write programs that use arithmetic operators (addition, subtraction, division, multiplication, modulus, integer division, exponentiation)</t>
  </si>
  <si>
    <t>Edexcel.6.5.2</t>
  </si>
  <si>
    <t>be able to write programs that use relational operators (equal to, less than, greater than, not equal to, less than or equal to, greater than or equal to)</t>
  </si>
  <si>
    <t>Edexcel.6.5.3</t>
  </si>
  <si>
    <t>be able to write programs that use logical operators (AND, OR, NOT)</t>
  </si>
  <si>
    <t>Edexcel.6.6.1</t>
  </si>
  <si>
    <t>Subprograms</t>
  </si>
  <si>
    <t>be able to write programs that use pre-existing (built-in, library) and user-devised subprograms (procedures, functions)</t>
  </si>
  <si>
    <t>Selection, Strings and lists, Subroutines</t>
  </si>
  <si>
    <t>Edexcel.6.6.2</t>
  </si>
  <si>
    <t>be able to write functions that may or may not take parameters but must return values, and procedures that may or may not take parameters but do not return values</t>
  </si>
  <si>
    <t>Edexcel.6.6.3</t>
  </si>
  <si>
    <t>understand the difference between and be able to write programs that make appropriate use of global and local variables</t>
  </si>
  <si>
    <t>Eduquas.1.1.1.a</t>
  </si>
  <si>
    <t>Component 1</t>
  </si>
  <si>
    <t>1.1 - Hardware</t>
  </si>
  <si>
    <t>Central processing unit (CPU)</t>
  </si>
  <si>
    <t>the purpose of the CPU</t>
  </si>
  <si>
    <t>Eduquas.1.1.1.b</t>
  </si>
  <si>
    <t>the purpose of different components in the Von Neumann CPU architecture, including:
- control unit (CU)
- arithmetic and logic unit (ALU)
- main memory
- cache
- registers
- program counter (PC)
- current instruction register (CIR)
- accumulator (ACC)
- memory address register (MAR)
- memory data register (MDR)</t>
  </si>
  <si>
    <t>Eduquas.1.1.1.c</t>
  </si>
  <si>
    <t>input and output devices.</t>
  </si>
  <si>
    <t>Physical Computing Project</t>
  </si>
  <si>
    <t>Eduquas.1.1.1.d</t>
  </si>
  <si>
    <t>the role of the components of the CPU in the fetch-decodeexecute cycle</t>
  </si>
  <si>
    <t>Eduquas.1.1.1.e</t>
  </si>
  <si>
    <t>CPU performance in relation to:
- cache size and levels of cache
- clock speed
- number of cores.</t>
  </si>
  <si>
    <t>Eduquas.1.1.2.a</t>
  </si>
  <si>
    <t>Primary storage</t>
  </si>
  <si>
    <t>the use and characteristics of primary storage, including:
- random access memory (RAM)
- read only memory (ROM)
- flash memory
- cache memory
- virtual memory.</t>
  </si>
  <si>
    <t>Eduquas.1.1.3.a</t>
  </si>
  <si>
    <t>Additional hardware components</t>
  </si>
  <si>
    <t>the role of additional hardware, including:
- integrated and dedicated GPUs
- sound cards
- motherboards.</t>
  </si>
  <si>
    <t>Eduquas.1.1.4.a</t>
  </si>
  <si>
    <t>Secondary storage</t>
  </si>
  <si>
    <t>the functional characteristics of contemporary secondary storage technologies, including:
- optical
- magnetic
- solid state
- cloud storage</t>
  </si>
  <si>
    <t>Eduquas.1.1.4.b</t>
  </si>
  <si>
    <t>the suitability and characteristics of contemporary secondary storage media in terms of:
- capacity
- durability
- portability
- speed
- cost.</t>
  </si>
  <si>
    <t>Eduquas.1.1.5.a</t>
  </si>
  <si>
    <t>Embedded systems</t>
  </si>
  <si>
    <t>the characteristics and purpose of embedded systems</t>
  </si>
  <si>
    <t>Eduquas.1.1.5.b</t>
  </si>
  <si>
    <t>example uses of embedded systems.</t>
  </si>
  <si>
    <t>Eduquas.1.10.1.a</t>
  </si>
  <si>
    <t>1.10 - Program construction</t>
  </si>
  <si>
    <t>Translators</t>
  </si>
  <si>
    <t>the purpose of the three common types of program translator:
- compilers
- interpreters
- assemblers</t>
  </si>
  <si>
    <t>Eduquas.1.10.1.b</t>
  </si>
  <si>
    <t>the appropriate use of the three common types of program translator</t>
  </si>
  <si>
    <t>Eduquas.1.10.1.c</t>
  </si>
  <si>
    <t>the principal stages involved in the compilation process:
- lexical analysis
- syntax analysis
- semantic analysis
- code generation
- code optimisation</t>
  </si>
  <si>
    <t>Eduquas.1.10.1.d</t>
  </si>
  <si>
    <t>examples of programming errors:
- logical
- syntactical
- run-time/execution
- linking
- rounding
- truncation</t>
  </si>
  <si>
    <t>Eduquas.1.11.1.a</t>
  </si>
  <si>
    <t>Component 2</t>
  </si>
  <si>
    <t>1.11 - Impacts of digital technology on wider society</t>
  </si>
  <si>
    <t>Impacts</t>
  </si>
  <si>
    <t>The ethical, legal, cultural, environmental and privacy issues linked to the use of computer systems.</t>
  </si>
  <si>
    <t>Eduquas.1.11.2.a</t>
  </si>
  <si>
    <t>Legislation</t>
  </si>
  <si>
    <t>the impact of relevant current legislation on Computer Science, including:
- the General Data Protection Regulation (GDPR) and Data Protection Act 2018
- Computer Misuse Act 1990
- Copyright Designs and Patents Act 1988
- Creative Commons Licensing
- Regulation of Investigatory Powers Act 2000
- Telecommunications Regulations Act 2000
- Freedom of Information Act 2000.</t>
  </si>
  <si>
    <t>Eduquas.1.11.3.a</t>
  </si>
  <si>
    <t>Professional standards</t>
  </si>
  <si>
    <t>The importance of conforming to professional standards, including formal and informal codes of ethical behaviour and conduct.</t>
  </si>
  <si>
    <t>Eduquas.1.2.1.a</t>
  </si>
  <si>
    <t>1.2 - Logical Operators</t>
  </si>
  <si>
    <t>the use of logical operators in truth tables and to solve problems, including:
- AND
- OR
- NOT
- XOR.</t>
  </si>
  <si>
    <t>Eduquas.1.2.2.a</t>
  </si>
  <si>
    <t>The simplification of Boolean expressions using Boolean identities and rules</t>
  </si>
  <si>
    <t>Eduquas.1.3.1.a</t>
  </si>
  <si>
    <t>1.3 - Networking and cybersecurity</t>
  </si>
  <si>
    <t>the characteristics of networks, and their advantages and disadvantages</t>
  </si>
  <si>
    <t>Eduquas.1.3.1.b</t>
  </si>
  <si>
    <t>common network topologies, including star and mesh, and their advantages and disadvantages over ring and bus topologies</t>
  </si>
  <si>
    <t>Eduquas.1.3.1.c</t>
  </si>
  <si>
    <t>the hardware required to establish wired and wireless connectivity, including:
- routers
- hubs
- switches
- bridges
- wireless access points (WAPs)
- network interface cards (NICs)</t>
  </si>
  <si>
    <t>Eduquas.1.3.1.d</t>
  </si>
  <si>
    <t>the importance of creating networking standards</t>
  </si>
  <si>
    <t>Eduquas.1.3.1.e</t>
  </si>
  <si>
    <t>the purpose of each layer in the 7-layer Open Systems Interconnection model (OSI model)</t>
  </si>
  <si>
    <t>Eduquas.1.3.1.f</t>
  </si>
  <si>
    <t>the use of contemporary networking protocols in the 7-layer OSI model, including:
- HTTP
- HTTPS
- SMTP
- FTP
- TCP
- IP
- Ethernet
- WiFi (802.11)</t>
  </si>
  <si>
    <t>Eduquas.1.3.1.g</t>
  </si>
  <si>
    <t>the typical contents of a TCP/IP packet and packet switching</t>
  </si>
  <si>
    <t>Eduquas.1.3.1.h</t>
  </si>
  <si>
    <t>methods of routing traffic on a network and calculation of routing costs.</t>
  </si>
  <si>
    <t>Eduquas.1.3.2.a</t>
  </si>
  <si>
    <t>Internet</t>
  </si>
  <si>
    <t>the purpose of Domain Name System (DNS) servers and how they work</t>
  </si>
  <si>
    <t>Eduquas.1.3.2.b</t>
  </si>
  <si>
    <t>the structure of URLs and the role and function of a web browser.</t>
  </si>
  <si>
    <t>Eduquas.1.3.3.a</t>
  </si>
  <si>
    <t>the characteristics of different threats to computer systems, including:
- malware
- phishing
- social engineering
- brute force attacks
- denial of service attacks
- data interception and theft
- SQL injection</t>
  </si>
  <si>
    <t>Eduquas.1.3.3.b</t>
  </si>
  <si>
    <t>different ways of protecting against threats during system design, creation, testing and use, including:
- penetration testing
- network forensics
- anti-malware software
- firewalls
- user access levels
- passwords
- double authentication
- encryption.</t>
  </si>
  <si>
    <t>Eduquas.1.4.1.a</t>
  </si>
  <si>
    <t>1.4 - Data representation and storage</t>
  </si>
  <si>
    <t>data types, including:
- integer
- real
- character
- string
- Boolean.</t>
  </si>
  <si>
    <t>Eduquas.1.4.2.a</t>
  </si>
  <si>
    <t>Representation of numbers</t>
  </si>
  <si>
    <t>use and convert between denary, binary and hexadecimal counting systems</t>
  </si>
  <si>
    <t>Eduquas.1.4.2.b</t>
  </si>
  <si>
    <t>the representation of positive and negative integers in a fixed-length store using both two’s complement, and sign and magnitude representation</t>
  </si>
  <si>
    <t>Eduquas.1.4.2.c</t>
  </si>
  <si>
    <t>binary addition and subtraction techniques</t>
  </si>
  <si>
    <t>Eduquas.1.4.2.d</t>
  </si>
  <si>
    <t>the concept of overflow and underflow</t>
  </si>
  <si>
    <t>Eduquas.1.4.2.e</t>
  </si>
  <si>
    <t>arithmetic shift functions and their effect.</t>
  </si>
  <si>
    <t>Eduquas.1.4.3.a</t>
  </si>
  <si>
    <t>Representation of characters</t>
  </si>
  <si>
    <t>the digital storage of characters</t>
  </si>
  <si>
    <t>Eduquas.1.4.3.b</t>
  </si>
  <si>
    <t>standardised character sets, including:
- Unicode
- American Standard Code for Information Interchange (ASCII).</t>
  </si>
  <si>
    <t>Eduquas.1.4.4.a</t>
  </si>
  <si>
    <t>Representation of graphics</t>
  </si>
  <si>
    <t>the digital storage of graphics</t>
  </si>
  <si>
    <t>Eduquas.1.4.4.b</t>
  </si>
  <si>
    <t>the effect of different resolutions and colour depths on the quality of graphics</t>
  </si>
  <si>
    <t>Eduquas.1.4.4.c</t>
  </si>
  <si>
    <t>how to calculate the storage requirements for graphics using different dimensions and colour depths.</t>
  </si>
  <si>
    <t>Eduquas.1.4.5.a</t>
  </si>
  <si>
    <t>Representation of sound</t>
  </si>
  <si>
    <t>the digital storage of sound</t>
  </si>
  <si>
    <t>Eduquas.1.4.5.b</t>
  </si>
  <si>
    <t>the effect of different sampling rates on the quality of sound</t>
  </si>
  <si>
    <t>Eduquas.1.4.5.c</t>
  </si>
  <si>
    <t>how to calculate the storage requirements for sound using different sampling rates.</t>
  </si>
  <si>
    <t>Eduquas.1.4.6.a</t>
  </si>
  <si>
    <t>Storage requirements</t>
  </si>
  <si>
    <t>the relationship between data storage units using the Base 2 prefixes, including:
- bit
- nibble
- byte
- kilobyte (i.e. 1,024 bytes)
- megabyte (i.e. 1,024 kilobytes)
- gigabyte (i.e. 1,024 megabytes)
- terabyte (i.e. 1,024 gigabytes)
- petabyte (i.e. 1,024 terabytes)</t>
  </si>
  <si>
    <t>Eduquas.1.4.6.b</t>
  </si>
  <si>
    <t>the calculation of data capacity requirements.</t>
  </si>
  <si>
    <t>Eduquas.1.4.7.a</t>
  </si>
  <si>
    <t>Compression</t>
  </si>
  <si>
    <t>the principles of data compression and the use of different compression types, including:
- lossy
- lossless</t>
  </si>
  <si>
    <t>Eduquas.1.4.7.b</t>
  </si>
  <si>
    <t>the calculation of compression ratios.</t>
  </si>
  <si>
    <t>Eduquas.1.5.1.a</t>
  </si>
  <si>
    <t>1.5 - Data organisation</t>
  </si>
  <si>
    <t>Data structures</t>
  </si>
  <si>
    <t>the design, interpretation and manipulation of data structures including:
- records
- one-dimensional arrays
- two-dimensional arrays</t>
  </si>
  <si>
    <t>Eduquas.1.5.1.b</t>
  </si>
  <si>
    <t>the selection, identification and justification of appropriate data structures for different situations.</t>
  </si>
  <si>
    <t>Eduquas.1.5.2.a</t>
  </si>
  <si>
    <t>File design</t>
  </si>
  <si>
    <t>The design of files and records appropriate for a particular application.</t>
  </si>
  <si>
    <t>Eduquas.1.6.1.a</t>
  </si>
  <si>
    <t>1.6 - Operating systems</t>
  </si>
  <si>
    <t>The purpose of the operating system.</t>
  </si>
  <si>
    <t>Eduquas.1.6.1.b</t>
  </si>
  <si>
    <t>how the operating system manages:
- CPU
- multi-tasking
- interrupts
- memory
- backing store
- peripherals
- interface
- security.</t>
  </si>
  <si>
    <t>Eduquas.1.6.2.a</t>
  </si>
  <si>
    <t>Utility software</t>
  </si>
  <si>
    <t>the purpose and functionality of a range of utility software, including:
- anti-virus
- clipboard manager
- system profiles
- backup software
- disk checkers
- disk compression
- disk defragmenters
- disk formatters
- disk partition editors
- archivers
- cryptographic utilities
- data recovery
- revision control
- file managers.</t>
  </si>
  <si>
    <t>Eduquas.1.7.1.a</t>
  </si>
  <si>
    <t>1.7 - Principles of programming</t>
  </si>
  <si>
    <t>Levels of computer language</t>
  </si>
  <si>
    <t>the characteristics and purpose of high-level and low-level languages</t>
  </si>
  <si>
    <t>Eduquas.1.7.1.b</t>
  </si>
  <si>
    <t>situations that require the use of a high-level or a low-level language.</t>
  </si>
  <si>
    <t>Eduquas.1.8.1.a</t>
  </si>
  <si>
    <t>1.8 - Algorithms and constructs</t>
  </si>
  <si>
    <t>methods of defining algorithms, including pseudo-code and flowcharts</t>
  </si>
  <si>
    <t>Algorithms 1, Iteration, Selection, Sequence</t>
  </si>
  <si>
    <t>Eduquas.1.8.1.b</t>
  </si>
  <si>
    <t>writing, correcting, testing and interpreting the function of algorithms that solve problems using:
- subroutines
- input
- output
- sequence, selection and iteration
- counts and rogue values
- local and global variables
- self-documenting identifiers
- string handling
- mathematical and logical operations</t>
  </si>
  <si>
    <t>Eduquas.1.8.2.a</t>
  </si>
  <si>
    <t>Sorting</t>
  </si>
  <si>
    <t>the characteristics of sort algorithms, including:
- merge sort
- bubble sort.</t>
  </si>
  <si>
    <t>Eduquas.1.8.3.a</t>
  </si>
  <si>
    <t>Searching</t>
  </si>
  <si>
    <t>the characteristics of search algorithms, including:
- linear search
- binary search.</t>
  </si>
  <si>
    <t>Eduquas.1.8.4.a</t>
  </si>
  <si>
    <t>Validation and verification</t>
  </si>
  <si>
    <t>the purpose of and techniques for data validation and verification</t>
  </si>
  <si>
    <t>Eduquas.1.8.4.b</t>
  </si>
  <si>
    <t>algorithms that validate and verify data</t>
  </si>
  <si>
    <t>Eduquas.1.9.1.a</t>
  </si>
  <si>
    <t>1.9 - Software development</t>
  </si>
  <si>
    <t>Software tools</t>
  </si>
  <si>
    <t>Integrated Development Environment (IDE) tools, including:
- editor
- automatic formatting
- automatic line numbering
- automatic colour coding
- linker
- libraries
- routines/subroutines
- standard functions
- loader
- debugger
- syntax error detection
- error diagnostics
- trace
- break point
- variable watch
- memory inspector
- statement completion
- code optimisation
- compilation and interpretation of code</t>
  </si>
  <si>
    <t>Eduquas.2.1.1.a</t>
  </si>
  <si>
    <t>2.1 - Systems Analysis</t>
  </si>
  <si>
    <t>Investigation</t>
  </si>
  <si>
    <t>use a systematic approach to problem solving including the use of decomposition and abstraction</t>
  </si>
  <si>
    <t>Eduquas.2.1.1.b</t>
  </si>
  <si>
    <t>use abstraction effectively to model selected aspects of the external world in an algorithm or program</t>
  </si>
  <si>
    <t>Eduquas.2.1.1.c</t>
  </si>
  <si>
    <t>use abstraction effectively to appropriately structure programs into modular parts with clear, well-documented interfaces</t>
  </si>
  <si>
    <t>Eduquas.2.1.1.d</t>
  </si>
  <si>
    <t>analyse a set of requirements</t>
  </si>
  <si>
    <t>Eduquas.2.1.1.e</t>
  </si>
  <si>
    <t>program a solution that meets a set of requirements.</t>
  </si>
  <si>
    <t>Eduquas.2.1.2.a</t>
  </si>
  <si>
    <t>Design</t>
  </si>
  <si>
    <t>design and document the input and output facilities required to produce an effective user interface</t>
  </si>
  <si>
    <t>Eduquas.2.1.2.b</t>
  </si>
  <si>
    <t>design and document all required data structures</t>
  </si>
  <si>
    <t>Eduquas.2.1.2.c</t>
  </si>
  <si>
    <t>using pseudo code, design and document the following routines:
- validation and verification
- data handling and processing
- authentication.</t>
  </si>
  <si>
    <t>Eduquas.2.1.3.a</t>
  </si>
  <si>
    <t>Implementation</t>
  </si>
  <si>
    <t>create new and extend existing functions or methods</t>
  </si>
  <si>
    <t>Selection, Sequence, Strings and lists, Subroutines</t>
  </si>
  <si>
    <t>Eduquas.2.1.3.b</t>
  </si>
  <si>
    <t>create new and edit existing objects</t>
  </si>
  <si>
    <t>Eduquas.2.1.3.c</t>
  </si>
  <si>
    <t>create new and extend existing Python 3 libraries</t>
  </si>
  <si>
    <t>Selection, Strings and lists</t>
  </si>
  <si>
    <t>Eduquas.2.1.3.d</t>
  </si>
  <si>
    <t>use variables (labels), operators, inputs, outputs and assignment</t>
  </si>
  <si>
    <t>Eduquas.2.1.3.e</t>
  </si>
  <si>
    <t>use a variety of data types, including integer, Boolean, real, character and string</t>
  </si>
  <si>
    <t>Eduquas.2.1.3.f</t>
  </si>
  <si>
    <t>use programming constructs to control the flow of a program, including:
- iteration (condition and counter controlled loops)
- selection
- sequence</t>
  </si>
  <si>
    <t>Iteration, Programming I, Selection, Sequence</t>
  </si>
  <si>
    <t>Eduquas.2.1.3.g</t>
  </si>
  <si>
    <t>use basic file handling, including:
- open a file
- read from a file into a variable
- read from a file into an array
- write to a file
- write to a file from an array
- close a file</t>
  </si>
  <si>
    <t>Eduquas.2.1.3.h</t>
  </si>
  <si>
    <t>create new and extend data structures and fixed length records to store data</t>
  </si>
  <si>
    <t>Eduquas.2.1.3.i</t>
  </si>
  <si>
    <t>use string manipulation</t>
  </si>
  <si>
    <t>Eduquas.2.1.3.j</t>
  </si>
  <si>
    <t>create new and extend lists, tuples and dictionaries (arrays)</t>
  </si>
  <si>
    <t>Eduquas.2.1.3.k</t>
  </si>
  <si>
    <t>use slicing</t>
  </si>
  <si>
    <t>Eduquas.2.1.3.l</t>
  </si>
  <si>
    <t>use mathematical and logical operations</t>
  </si>
  <si>
    <t>Eduquas.2.1.3.m</t>
  </si>
  <si>
    <t>create new and modify existing intuitive graphical user interfaces using the Python 3 built in libraries including:
- text boxes
- buttons
- forms</t>
  </si>
  <si>
    <t>Eduquas.2.1.3.n</t>
  </si>
  <si>
    <t>create and modify data validation and verification routines</t>
  </si>
  <si>
    <t>Eduquas.2.1.3.o</t>
  </si>
  <si>
    <t>create and modify authentication management routines</t>
  </si>
  <si>
    <t>Eduquas.2.1.3.p</t>
  </si>
  <si>
    <t>create code for the solution that is self-documenting and uses meaningful identifiers</t>
  </si>
  <si>
    <t>Dictionaries and datafiles, Sequence</t>
  </si>
  <si>
    <t>Eduquas.2.1.3.q</t>
  </si>
  <si>
    <t>use a programming style that is consistent, including indentation and appropriate use of white space</t>
  </si>
  <si>
    <t>Eduquas.2.1.3.r</t>
  </si>
  <si>
    <t>use subroutines with well-defined interfaces</t>
  </si>
  <si>
    <t>Eduquas.2.1.3.s</t>
  </si>
  <si>
    <t>annotate code so that it is accessible to a competent third party</t>
  </si>
  <si>
    <t>Eduquas.2.1.3.t</t>
  </si>
  <si>
    <t>explain the solution or changes made to a solution.</t>
  </si>
  <si>
    <t>Eduquas.2.1.4.a</t>
  </si>
  <si>
    <t>Testing</t>
  </si>
  <si>
    <t>design and document an effective testing strategy that will ensure that the final solution meets the requirements</t>
  </si>
  <si>
    <t>Eduquas.2.1.4.b</t>
  </si>
  <si>
    <t>describe how the outcomes of the testing process can be used to inform further development of the solution</t>
  </si>
  <si>
    <t>Eduquas.2.1.4.c</t>
  </si>
  <si>
    <t>design test data to include examples of typical, extreme and erroneous content</t>
  </si>
  <si>
    <t>Eduquas.2.1.4.d</t>
  </si>
  <si>
    <t>implement a test plan using typical, extreme and erroneous data where appropriate</t>
  </si>
  <si>
    <t>Eduquas.2.1.4.e</t>
  </si>
  <si>
    <t>present test outcomes with detailed and informed commentaries</t>
  </si>
  <si>
    <t>Eduquas.2.1.4.f</t>
  </si>
  <si>
    <t>demonstrate testing and refinement of code during development or in response to change in the requirements provided</t>
  </si>
  <si>
    <t>Eduquas.2.1.4.g</t>
  </si>
  <si>
    <t>explain the outcome of testing using given data or data that the candidate has designed.</t>
  </si>
  <si>
    <t>Eduquas.2.1.5.a</t>
  </si>
  <si>
    <t>Refinement</t>
  </si>
  <si>
    <t>demonstrate understanding of the requirements and any changes required by revised requirements</t>
  </si>
  <si>
    <t>Eduquas.2.1.5.b</t>
  </si>
  <si>
    <t>demonstrate understanding of changes by presenting evidence of developmental changes</t>
  </si>
  <si>
    <t>Eduquas.2.1.5.c</t>
  </si>
  <si>
    <t>demonstrate testing and refinement of code to improve efficiency</t>
  </si>
  <si>
    <t>Eduquas.2.1.5.d</t>
  </si>
  <si>
    <t>discuss the strengths and weaknesses of differing approaches to meeting the requirements</t>
  </si>
  <si>
    <t>Eduquas.2.1.5.e</t>
  </si>
  <si>
    <t>demonstrate an understanding of the technical terminology/concepts used during software development</t>
  </si>
  <si>
    <t>Eduquas.2.1.5.f</t>
  </si>
  <si>
    <t>evaluate the outcomes of the original given code</t>
  </si>
  <si>
    <t>Eduquas.2.1.5.g</t>
  </si>
  <si>
    <t>evaluate the outcomes of the changes made by additional requirements.</t>
  </si>
  <si>
    <t>OCR.1.1.1.a</t>
  </si>
  <si>
    <t>J277/01</t>
  </si>
  <si>
    <t>1.1 - Systems architecture</t>
  </si>
  <si>
    <t>Architecture of the CPU</t>
  </si>
  <si>
    <t>The purpose of the CPU:
-  The fetch-execute cycle</t>
  </si>
  <si>
    <t>OCR.1.1.1.b</t>
  </si>
  <si>
    <t>common CPU components and their function:
-  ALU (Arithmetic Logic Unit)
-  CU (Control Unit)
-  Cache
-  Registers</t>
  </si>
  <si>
    <t>OCR.1.1.1.c</t>
  </si>
  <si>
    <t>Von Neumann architecture:
- MAR (Memory Address Register)
- MDR (Memory Data Register)
- Program Counter
- Accumulator</t>
  </si>
  <si>
    <t>OCR.1.1.2.d</t>
  </si>
  <si>
    <t>CPU performance</t>
  </si>
  <si>
    <t>how common characteristics of CPUs affect their performance:
-  clock speed
-  cache size
-  number of cores</t>
  </si>
  <si>
    <t>OCR.1.1.3.a</t>
  </si>
  <si>
    <t>The purpose and characteristics of embedded systems</t>
  </si>
  <si>
    <t>OCR.1.1.3.b</t>
  </si>
  <si>
    <t>Examples of embedded systems</t>
  </si>
  <si>
    <t>OCR.1.2.1.a</t>
  </si>
  <si>
    <t>1.2 - Memory and storage</t>
  </si>
  <si>
    <t>Primary storage (Memory)</t>
  </si>
  <si>
    <t>The need for primary storage</t>
  </si>
  <si>
    <t>OCR.1.2.1.b</t>
  </si>
  <si>
    <t>the difference between RAM and ROM</t>
  </si>
  <si>
    <t>OCR.1.2.1.c</t>
  </si>
  <si>
    <t>the purpose of ROM in a computer system</t>
  </si>
  <si>
    <t>OCR.1.2.1.d</t>
  </si>
  <si>
    <t>the purpose of RAM in a computer system</t>
  </si>
  <si>
    <t>OCR.1.2.1.e</t>
  </si>
  <si>
    <t>the need for virtual memory</t>
  </si>
  <si>
    <t>OCR.1.2.2.a</t>
  </si>
  <si>
    <t>the need for secondary storage</t>
  </si>
  <si>
    <t>OCR.1.2.2.b</t>
  </si>
  <si>
    <t>common types of storage:
-  optical
-  magnetic
-  solid state</t>
  </si>
  <si>
    <t>OCR.1.2.2.c</t>
  </si>
  <si>
    <t>suitable storage devices and storage media for a given application</t>
  </si>
  <si>
    <t>OCR.1.2.2.d</t>
  </si>
  <si>
    <t>the advantages and disadvantages of these, using characteristics:
-  capacity
-  speed
-  portability
-  durability
-  reliability
-  cost.</t>
  </si>
  <si>
    <t>OCR.1.2.3.a</t>
  </si>
  <si>
    <t>The units of data storage:
- Bit
- Nibble (4 bits)
- Byte (8 bits)
- Kilobyte (1,000 bytes or 1 KB)
- Megabyte (1,000 KB)
- Gigabyte (1,000 MB)
- Terabyte (1,000 GB)
- Petabyte (1,000 TB)</t>
  </si>
  <si>
    <t>OCR.1.2.3.b</t>
  </si>
  <si>
    <t>How data needs to be converted into a binary format to be processed by a computer</t>
  </si>
  <si>
    <t>OCR.1.2.3.c</t>
  </si>
  <si>
    <t>data capacity and calculation of data capacity requirements</t>
  </si>
  <si>
    <t>OCR.1.2.4.a</t>
  </si>
  <si>
    <t>Data storage</t>
  </si>
  <si>
    <t>How to convert positive denary whole numbers to binary numbers (up to and including 8 bits) and vice versa</t>
  </si>
  <si>
    <t>OCR.1.2.4.b</t>
  </si>
  <si>
    <t>how to add two binary integers together (up to and including 8 bits) and explain overflow errors which may occur</t>
  </si>
  <si>
    <t>OCR.1.2.4.c</t>
  </si>
  <si>
    <t>How to convert positive denary whole numbers into 2-digit hexadecimal numbers and vice versa</t>
  </si>
  <si>
    <t>OCR.1.2.4.d</t>
  </si>
  <si>
    <t>How to convert binary integers to their hexadecimal equivalents and vice versa</t>
  </si>
  <si>
    <t>OCR.1.2.4.e</t>
  </si>
  <si>
    <t>binary shifts</t>
  </si>
  <si>
    <t>OCR.1.2.4.f</t>
  </si>
  <si>
    <t>the use of binary codes to represent characters</t>
  </si>
  <si>
    <t>OCR.1.2.4.g</t>
  </si>
  <si>
    <t>the term ‘character-set’</t>
  </si>
  <si>
    <t>OCR.1.2.4.h</t>
  </si>
  <si>
    <t>the relationship between the number of bits per character in a character set, and the number of characters which can be represented, e.g.:
- ASCII
- Unicode</t>
  </si>
  <si>
    <t>OCR.1.2.4.i</t>
  </si>
  <si>
    <t>how an image is represented as a series of pixels, represented in binary</t>
  </si>
  <si>
    <t>OCR.1.2.4.j</t>
  </si>
  <si>
    <t>metadata</t>
  </si>
  <si>
    <t>OCR.1.2.4.k</t>
  </si>
  <si>
    <t>the effect of colour depth and resolution on:
- the quality of the image
- the size of an image file</t>
  </si>
  <si>
    <t>OCR.1.2.4.l</t>
  </si>
  <si>
    <t>how sound can be sampled and stored in digital form</t>
  </si>
  <si>
    <t>OCR.1.2.4.m</t>
  </si>
  <si>
    <t>The effect of sample rate, duration and bit depth on:
- The playback quality
- The size of a sound file</t>
  </si>
  <si>
    <t>OCR.1.2.5.a</t>
  </si>
  <si>
    <t>need for compression</t>
  </si>
  <si>
    <t>OCR.1.2.5.b</t>
  </si>
  <si>
    <t>types of compression:
-  lossy
-  lossless.</t>
  </si>
  <si>
    <t>OCR.1.3.1.a</t>
  </si>
  <si>
    <t>1.3 - Computer networks, connections and protocols</t>
  </si>
  <si>
    <t>Networks and topologies</t>
  </si>
  <si>
    <t>types of networks:
-  LAN (Local Area Network)
-  WAN (Wide Area Network)</t>
  </si>
  <si>
    <t>OCR.1.3.1.b</t>
  </si>
  <si>
    <t>factors that affect the performance of networks</t>
  </si>
  <si>
    <t>OCR.1.3.1.c</t>
  </si>
  <si>
    <t>the different roles of computers in a client-server and a peer-to-peer network</t>
  </si>
  <si>
    <t>OCR.1.3.1.d</t>
  </si>
  <si>
    <t>the hardware needed to connect stand-alone computers into a Local Area Network:
-  wireless access points
-  routers
-  switches
-  NIC (Network Interface Controller/Card)
-  transmission media</t>
  </si>
  <si>
    <t>OCR.1.3.1.e</t>
  </si>
  <si>
    <t>the internet as a worldwide collection of computer networks:
-  DNS (Domain Name Server)
-  hosting
-  the cloud
-  web servers and clients</t>
  </si>
  <si>
    <t>OCR.1.3.1.f</t>
  </si>
  <si>
    <t>star and mesh network topologies</t>
  </si>
  <si>
    <t>OCR.1.3.2.a</t>
  </si>
  <si>
    <t>Wired and wireless networks, protocols and layers</t>
  </si>
  <si>
    <t>Modes of connection:
- Wired
  -  Ethernet
- Wireless
  -  Wi-Fi
  -  Bluetooth</t>
  </si>
  <si>
    <t>OCR.1.3.2.b</t>
  </si>
  <si>
    <t>Encryption</t>
  </si>
  <si>
    <t>OCR.1.3.2.c</t>
  </si>
  <si>
    <t>IP addressing and MAC addressing</t>
  </si>
  <si>
    <t>OCR.1.3.2.d</t>
  </si>
  <si>
    <t>Network standards</t>
  </si>
  <si>
    <t>OCR.1.3.2.e</t>
  </si>
  <si>
    <t>Common protocols including:
-  TCP/IP (Transmission Control Protocol/Internet Protocol)
-  HTTP (Hyper Text Transfer Protocol)
-  HTTPS (Hyper Text Transfer Protocol Secure)
-  FTP (File Transfer Protocol)
-  POP (Post Office Protocol)
-  IMAP (Internet Message Access Protocol)
-  SMTP (Simple Mail Transfer Protocol)</t>
  </si>
  <si>
    <t>OCR.1.3.2.f</t>
  </si>
  <si>
    <t>the concept of layers</t>
  </si>
  <si>
    <t>OCR.1.4.1.a</t>
  </si>
  <si>
    <t>1.4 - Network security</t>
  </si>
  <si>
    <t>Threats to computer systems and networks</t>
  </si>
  <si>
    <t>Forms of attack:
- Malware
- Social engineering, e.g. phishing, people as the ‘weak point’
- Brute-force attacks
- Denial of service attacks
- Data interception and theft
- The concept of SQL injection</t>
  </si>
  <si>
    <t>OCR.1.4.2.a</t>
  </si>
  <si>
    <t>Identifying and preventing vulnerabilities</t>
  </si>
  <si>
    <t>Common prevention methods:
- Penetration testing
- Anti-malware software
- Firewalls
- User access levels
- Passwords
- Encryption
- Physical security</t>
  </si>
  <si>
    <t>OCR.1.5.1.a</t>
  </si>
  <si>
    <t>1.5 - Systems software</t>
  </si>
  <si>
    <t>The purpose and functionality of operating systems:
-  user interface
-  memory management and multitasking
-  peripheral management and drivers
-  user management
-  file management</t>
  </si>
  <si>
    <t>OCR.1.5.2.a</t>
  </si>
  <si>
    <t>the purpose and functionality of utility software</t>
  </si>
  <si>
    <t>OCR.1.5.2.b</t>
  </si>
  <si>
    <t>utility system software:
-  encryption software
-  defragmentation
-  data compression</t>
  </si>
  <si>
    <t>OCR.1.6.1.a</t>
  </si>
  <si>
    <t>1.6 - Ethical, legal, cultural and environmental impacts of digital technology</t>
  </si>
  <si>
    <t>Ethical, legal, cultural and environmental impact</t>
  </si>
  <si>
    <t>Impacts of digital technology on wider society including:
- Ethical issues
- Legal issues
- Cultural issues
- Environmental issues
- Privacy issues</t>
  </si>
  <si>
    <t>OCR.1.6.1.b</t>
  </si>
  <si>
    <t>Legislation relevant to Computer Science:
- The Data Protection Act 2018
- Computer Misuse Act 1990
- Copyright Designs and Patents Act 1988
- Software licences (i.e. open source and proprietary)</t>
  </si>
  <si>
    <t>OCR.2.1.1.a</t>
  </si>
  <si>
    <t>J277/02</t>
  </si>
  <si>
    <t>2.1 - Algorithms</t>
  </si>
  <si>
    <t>Principals of computational thinking:
-  abstraction
-  decomposition
-  algorithmic thinking</t>
  </si>
  <si>
    <t>OCR.2.1.2.a</t>
  </si>
  <si>
    <t>Designing, creating and refining algorithms</t>
  </si>
  <si>
    <t>Identify the inputs, processes, and outputs for a problem</t>
  </si>
  <si>
    <t>OCR.2.1.2.b</t>
  </si>
  <si>
    <t>Structure diagrams</t>
  </si>
  <si>
    <t>OCR.2.1.2.c</t>
  </si>
  <si>
    <t>(create, interpret, correct, complete, and refine algorithms using:
-  pseudocode
-  flowcharts
-  reference language / high-level programming language)</t>
  </si>
  <si>
    <t>Algorithms 1, Algorithms 2, Flat-file databases, Iteration, Selection, Sequence</t>
  </si>
  <si>
    <t>OCR.2.1.2.d</t>
  </si>
  <si>
    <t>Identify common errors</t>
  </si>
  <si>
    <t>OCR.2.1.2.e</t>
  </si>
  <si>
    <t>Trace tables</t>
  </si>
  <si>
    <t>OCR.2.1.3.a</t>
  </si>
  <si>
    <t>Searching and sorting algorithms</t>
  </si>
  <si>
    <t>standard searching algorithms:
-  binary search
-  linear search</t>
  </si>
  <si>
    <t>OCR.2.1.3.b</t>
  </si>
  <si>
    <t>standard sorting algorithms:
-  bubble sort
-  merge sort
-  insertion sort</t>
  </si>
  <si>
    <t>OCR.2.2.1.a</t>
  </si>
  <si>
    <t>2.2 - Programming fundamentals</t>
  </si>
  <si>
    <t>the use of variables, constants, operators, inputs, outputs and assignments</t>
  </si>
  <si>
    <t>Selection, Sequence, Subroutines</t>
  </si>
  <si>
    <t>OCR.2.2.1.b</t>
  </si>
  <si>
    <t>the use of the three basic programming constructs used to control the flow of a program:
-  sequence
-  selection
-  iteration (count- and condition-controlled loops)</t>
  </si>
  <si>
    <t>OCR.2.2.1.c</t>
  </si>
  <si>
    <t>the common arithmetic operators</t>
  </si>
  <si>
    <t>OCR.2.2.1.d</t>
  </si>
  <si>
    <t>the common Boolean operators AND, OR and NOT</t>
  </si>
  <si>
    <t>OCR.2.2.2.a</t>
  </si>
  <si>
    <t>the use of data types:
-  integer
-  real
-  Boolean
-  character and string
-  casting</t>
  </si>
  <si>
    <t>OCR.2.2.3.a</t>
  </si>
  <si>
    <t>the use of basic string manipulation</t>
  </si>
  <si>
    <t>OCR.2.2.3.b</t>
  </si>
  <si>
    <t>the use of basic file handling operations:
-  open
-  read
-  write
-  close</t>
  </si>
  <si>
    <t>OCR.2.2.3.c</t>
  </si>
  <si>
    <t>the use of records to store data</t>
  </si>
  <si>
    <t>OCR.2.2.3.d</t>
  </si>
  <si>
    <t>(the use of SQL to search for data)</t>
  </si>
  <si>
    <t>OCR.2.2.3.e</t>
  </si>
  <si>
    <t>the use of arrays (or equivalent) when solving problems, including both one-dimensional and two-dimensional
arrays</t>
  </si>
  <si>
    <t>OCR.2.2.3.f</t>
  </si>
  <si>
    <t>how to use sub programs (functions and procedures) to produce structured code</t>
  </si>
  <si>
    <t>Iteration, Sequence, Subroutines</t>
  </si>
  <si>
    <t>OCR.2.2.3.g</t>
  </si>
  <si>
    <t>Random number generation</t>
  </si>
  <si>
    <t>OCR.2.3.1.a</t>
  </si>
  <si>
    <t>2.3 - Producing robust programs</t>
  </si>
  <si>
    <t>Defensive design</t>
  </si>
  <si>
    <t>defensive design considerations:
-  anticipating misuse
-  authentication</t>
  </si>
  <si>
    <t>OCR.2.3.1.b</t>
  </si>
  <si>
    <t>Input validation</t>
  </si>
  <si>
    <t>OCR.2.3.1.c</t>
  </si>
  <si>
    <t>Maintainability:
- Use of sub programs
- Naming conventions
- Indentation
- Commenting</t>
  </si>
  <si>
    <t>OCR.2.3.2.a</t>
  </si>
  <si>
    <t>the purpose of testing</t>
  </si>
  <si>
    <t>OCR.2.3.2.b</t>
  </si>
  <si>
    <t>types of testing:
-  iterative
-  final/terminal</t>
  </si>
  <si>
    <t>OCR.2.3.2.c</t>
  </si>
  <si>
    <t>identify syntax and logic errors</t>
  </si>
  <si>
    <t>OCR.2.3.2.d</t>
  </si>
  <si>
    <t>selecting and using suitable test data:
- Normal
- Boundary
- Invalid
- Erroneous</t>
  </si>
  <si>
    <t>OCR.2.3.2.e</t>
  </si>
  <si>
    <t>Refining algorithms</t>
  </si>
  <si>
    <t>OCR.2.4.1.a</t>
  </si>
  <si>
    <t>2.4 - Boolean logic</t>
  </si>
  <si>
    <t>simple logic diagrams using the operators AND, OR and NOT</t>
  </si>
  <si>
    <t>OCR.2.4.1.b</t>
  </si>
  <si>
    <t>truth tables</t>
  </si>
  <si>
    <t>OCR.2.4.1.c</t>
  </si>
  <si>
    <t>combining Boolean operators using AND, OR and NOT</t>
  </si>
  <si>
    <t>OCR.2.4.1.d</t>
  </si>
  <si>
    <t>applying logical operators in truth tables to solve problems</t>
  </si>
  <si>
    <t>OCR.2.5.1.a</t>
  </si>
  <si>
    <t>2.5 - Programming languages and Integrated Development Environments</t>
  </si>
  <si>
    <t>Languages</t>
  </si>
  <si>
    <t>Characteristics and purpose of different levels of programming language:
- High-level languages
- Low-level languages</t>
  </si>
  <si>
    <t>Computer Systems, Sequence</t>
  </si>
  <si>
    <t>OCR.2.5.1.b</t>
  </si>
  <si>
    <t>the purpose of translators</t>
  </si>
  <si>
    <t>OCR.2.5.1.c</t>
  </si>
  <si>
    <t>the characteristics of a compiler and an interpreter</t>
  </si>
  <si>
    <t>OCR.2.5.2.a</t>
  </si>
  <si>
    <t>The Integrated Development Environment (IDE)</t>
  </si>
  <si>
    <t>common tools and facilities available in an integrated development environment (IDE):
-  editors
-  error diagnostics
-  run-time environment
-  translators.</t>
  </si>
  <si>
    <t>level</t>
  </si>
  <si>
    <t>year_number</t>
  </si>
  <si>
    <t>title</t>
  </si>
  <si>
    <t>lesson_no</t>
  </si>
  <si>
    <t>description</t>
  </si>
  <si>
    <t>string_agg</t>
  </si>
  <si>
    <t>Computing systems and networks – Technology around us</t>
  </si>
  <si>
    <t>To identify technology</t>
  </si>
  <si>
    <t>- I can explain how these technology examples help us
- I can explain technology as something that helps us
- I can locate examples of technology in the classroom</t>
  </si>
  <si>
    <t>1.4,1.5,1.6</t>
  </si>
  <si>
    <t>CS,IT</t>
  </si>
  <si>
    <t>To identify a computer and its main parts</t>
  </si>
  <si>
    <t>- I can name the main parts of a computer
- I can switch on and log into a computer
- I can use a mouse to click and drag</t>
  </si>
  <si>
    <t>To use a mouse in different ways</t>
  </si>
  <si>
    <t>- I can click and drag to make objects on a screen
- I can use a mouse to create a picture
- I can use a mouse to open a program</t>
  </si>
  <si>
    <t>CS,ET</t>
  </si>
  <si>
    <t>To use a keyboard to type on a computer</t>
  </si>
  <si>
    <t>- I can save my work to a file
- I can say what a keyboard is for
- I can type my name on a computer</t>
  </si>
  <si>
    <t>To use the keyboard to edit text</t>
  </si>
  <si>
    <t>- I can delete letters
- I can open my work from a file
- I can use the arrow keys to move the cursor</t>
  </si>
  <si>
    <t>To create rules for using technology responsibly</t>
  </si>
  <si>
    <t>- I can discuss how we benefit from these rules
- I can give examples of some of these rules
- I can identify rules to keep us safe and healthy when we are using technology in and beyond the home</t>
  </si>
  <si>
    <t>CS,ET,SS</t>
  </si>
  <si>
    <t>Creating media – Digital painting</t>
  </si>
  <si>
    <t>To describe what different freehand tools do</t>
  </si>
  <si>
    <t>- I can draw lines on a screen and explain which tools I used
- I can make marks on a screen and explain which tools I used
- I can use the paint tools to draw a picture</t>
  </si>
  <si>
    <t>CM,ET</t>
  </si>
  <si>
    <t>-</t>
  </si>
  <si>
    <t>To use the shape tool and the line tools</t>
  </si>
  <si>
    <t>- I can make marks with the square and line tools
- I can use the shape and line tools effectively
- I can use the shape and line tools to recreate the work of an artist</t>
  </si>
  <si>
    <t>To make careful choices when painting a digital picture</t>
  </si>
  <si>
    <t>- I can choose appropriate shapes
- I can create a picture in the style of an artist
- I can make appropriate colour choices</t>
  </si>
  <si>
    <t>To explain why I chose the tools I used</t>
  </si>
  <si>
    <t>- I can choose appropriate paint tools and colours to recreate the work of an artist
- I can say which tools were helpful and why
- I know that different paint tools do different jobs</t>
  </si>
  <si>
    <t>CM,DD,ET</t>
  </si>
  <si>
    <t>To use a computer on my own to paint a picture</t>
  </si>
  <si>
    <t>- I can change the colour and brush sizes
- I can make dots of colour on the page
- I can use dots of colour to create a picture in the style of an artist on my own</t>
  </si>
  <si>
    <t>To compare painting a picture on a computer and on paper</t>
  </si>
  <si>
    <t>- I can explain that pictures can be made in lots of different ways
- I can say whether I prefer painting using a computer or using paper
- I can spot the differences between painting on a computer and on paper</t>
  </si>
  <si>
    <t>Creating media – Digital writing</t>
  </si>
  <si>
    <t>To use a computer to write</t>
  </si>
  <si>
    <t>- I can identify and find keys on a keyboard
- I can open a word processor
- I can recognise keys on a keyboard</t>
  </si>
  <si>
    <t>1.4,1.6</t>
  </si>
  <si>
    <t>To add and remove text on a computer</t>
  </si>
  <si>
    <t>- I can enter text into a computer
- I can use backspace to remove text
- I can use letter, number, and space keys</t>
  </si>
  <si>
    <t>To identify that the look of text can be changed on a computer</t>
  </si>
  <si>
    <t>- I can explain what the keys that I have learnt about already do
- I can identify the toolbar and use bold, italic, and underline
- I can type capital letters</t>
  </si>
  <si>
    <t>To make careful choices when changing text</t>
  </si>
  <si>
    <t>- I can change the font
- I can select all of the text by clicking and dragging
- I can select a word by double-clicking</t>
  </si>
  <si>
    <t>To explain why I used the tools that I chose</t>
  </si>
  <si>
    <t>- I can decide if my changes have improved my writing
- I can say what tool I used to change the text
- I can use ‘undo’ to remove changes</t>
  </si>
  <si>
    <t>To compare typing on a computer to writing on paper</t>
  </si>
  <si>
    <t>- I can explain the differences between typing and writing
- I can make changes to text on a computer
- I can say why I prefer typing or writing</t>
  </si>
  <si>
    <t>Data and information – Grouping data</t>
  </si>
  <si>
    <t>To label objects</t>
  </si>
  <si>
    <t>- I can describe objects using labels
- I can identify the label for a group of objects
- I can match objects to groups</t>
  </si>
  <si>
    <t>To identify that objects can be counted</t>
  </si>
  <si>
    <t>- I can count a group of objects
- I can count objects
- I can group objects</t>
  </si>
  <si>
    <t>To describe objects in different ways</t>
  </si>
  <si>
    <t>- I can describe an object
- I can describe a property of an object
- I can find objects with similar properties</t>
  </si>
  <si>
    <t>To count objects with the same properties</t>
  </si>
  <si>
    <t>- I can count how many objects share a property
- I can group objects in more than one way
- I can group similar objects</t>
  </si>
  <si>
    <t>To compare groups of objects</t>
  </si>
  <si>
    <t>- I can choose how to group objects
- I can describe groups of objects
- I can record how many objects are in a group</t>
  </si>
  <si>
    <t>To answer questions about groups of objects</t>
  </si>
  <si>
    <t>- I can compare groups of objects
- I can decide how to group objects to answer a question
- I can record and share what I have found</t>
  </si>
  <si>
    <t>Programming A – Moving a robot</t>
  </si>
  <si>
    <t>To explain what a given command will do</t>
  </si>
  <si>
    <t>- I can match a command to an outcome
- I can predict the outcome of a command on a device
- I can run a command on a device</t>
  </si>
  <si>
    <t>1.1,1.2,1.3,1.5</t>
  </si>
  <si>
    <t>To act out a given word</t>
  </si>
  <si>
    <t>- I can follow an instruction
- I can give directions
- I can recall words that can be acted out</t>
  </si>
  <si>
    <t>AL,IT</t>
  </si>
  <si>
    <t>To combine forwards and backwards commands to make a sequence</t>
  </si>
  <si>
    <t>- I can compare forwards and backwards movements
- I can predict the outcome of a sequence involving forwards and backwards commands
- I can start a sequence from the same place</t>
  </si>
  <si>
    <t>To combine four direction commands to make sequences</t>
  </si>
  <si>
    <t>- I can compare left and right turns
- I can experiment with turn and move commands to move a robot
- I can predict the outcome of a sequence involving up to four commands</t>
  </si>
  <si>
    <t>To plan a simple program</t>
  </si>
  <si>
    <t>- I can choose the order of commands in a sequence
- I can debug my program
- I can explain what my program should do</t>
  </si>
  <si>
    <t>AL,DD</t>
  </si>
  <si>
    <t>To find more than one solution to a problem</t>
  </si>
  <si>
    <t>- I can identify several possible solutions
- I can plan two programs
- I can use two different programs to get to the same place</t>
  </si>
  <si>
    <t>Programming B – Introduction to animation</t>
  </si>
  <si>
    <t>To choose a command for a given purpose</t>
  </si>
  <si>
    <t>- I can compare different programming tools
- I can find which commands to move a sprite
- I can use commands to move a sprite</t>
  </si>
  <si>
    <t>1.1,1.2,1.3,1.4</t>
  </si>
  <si>
    <t>To show that a series of commands can be joined together</t>
  </si>
  <si>
    <t>- I can run my program
- I can use a Start block in a program
- I can use more than one block by joining them together</t>
  </si>
  <si>
    <t>To identify the effect of changing a value</t>
  </si>
  <si>
    <t>- I can change the value
- I can find blocks that have numbers
- I can say what happens when I change a value</t>
  </si>
  <si>
    <t>To explain that each sprite has its own instructions</t>
  </si>
  <si>
    <t>- I can add blocks to each of my sprites
- I can delete a sprite
- I can show that a project can include more than one sprite</t>
  </si>
  <si>
    <t>To design the parts of a project</t>
  </si>
  <si>
    <t>- I can choose appropriate artwork for my project
- I can create an algorithm for each sprite
- I can decide how each sprite will move</t>
  </si>
  <si>
    <t>DD,PG</t>
  </si>
  <si>
    <t>To use my algorithm to create a program</t>
  </si>
  <si>
    <t>- I can add programming blocks based on my algorithm
- I can test the programs I have created
- I can use sprites that match my design</t>
  </si>
  <si>
    <t>AL,DD,PG</t>
  </si>
  <si>
    <t>Computing systems and networks – IT around us</t>
  </si>
  <si>
    <t>To recognise the uses and features of information technology</t>
  </si>
  <si>
    <t>- I can describe some uses of computers
- I can identify examples of computers
- I can identify that a computer is a part of IT</t>
  </si>
  <si>
    <t>CS,NW,SS</t>
  </si>
  <si>
    <t>To identify the uses of information technology in the school</t>
  </si>
  <si>
    <t>- I can identify examples of IT
- I can identify that some IT can be used in more than one way
- I can sort school IT by what it’s used for</t>
  </si>
  <si>
    <t>CS,IT,NW</t>
  </si>
  <si>
    <t>To identify information technology beyond school</t>
  </si>
  <si>
    <t>- I can find examples of information technology
- I can sort IT by where it is found
- I can talk about uses of information technology</t>
  </si>
  <si>
    <t>To explain how information technology helps us</t>
  </si>
  <si>
    <t>- I can demonstrate how IT devices work together
- I can recognise common types of technology
- I can say why we use IT</t>
  </si>
  <si>
    <t>To explain how to use information technology safely</t>
  </si>
  <si>
    <t>- I can list different uses of information technology
- I can say how rules can help keep me safe
- I can talk about different rules for using IT</t>
  </si>
  <si>
    <t>To recognise that choices are made when using information technology</t>
  </si>
  <si>
    <t>- I can explain the need to use IT in different ways
- I can identify the choices that I make when using IT
- I can use IT for different types of activities</t>
  </si>
  <si>
    <t>CS,IT,NW,SS</t>
  </si>
  <si>
    <t>Creating media – Digital photography</t>
  </si>
  <si>
    <t>To use a digital device to take a photograph</t>
  </si>
  <si>
    <t>- I can explain what I did to capture a digital photo
- I can recognise what devices can be used to take photographs
- I can talk about how to take a photograph</t>
  </si>
  <si>
    <t>CM,CS</t>
  </si>
  <si>
    <t>To make choices when taking a photograph</t>
  </si>
  <si>
    <t>- I can explain the process of taking a good photograph
- I can explain why a photo looks better in portrait or landscape format
- I can take photos in both landscape and portrait format</t>
  </si>
  <si>
    <t>CM,CS,ET</t>
  </si>
  <si>
    <t>To describe what makes a good photograph</t>
  </si>
  <si>
    <t>- I can discuss how to take a good photograph
- I can identify what is wrong with a photograph
- I can improve a photograph by retaking it</t>
  </si>
  <si>
    <t>CM,DD</t>
  </si>
  <si>
    <t>To decide how photographs can be improved</t>
  </si>
  <si>
    <t>- I can experiment with different light sources
- I can explain why a picture may be unclear
- I can explore the effect that light has on a photo</t>
  </si>
  <si>
    <t>To use tools to change an image</t>
  </si>
  <si>
    <t>- I can explain my choices
- I can recognise that images can be changed
- I can use a tool to achieve a desired effect</t>
  </si>
  <si>
    <t>To recognise that photos can be changed</t>
  </si>
  <si>
    <t>- I can apply a range of photography skills to capture a photo
- I can identify which photos are real and which have been changed
- I can recognise which photos have been changed</t>
  </si>
  <si>
    <t>Creating media – Making music</t>
  </si>
  <si>
    <t>To say how music can make us feel</t>
  </si>
  <si>
    <t>- I can describe how music makes me feel, e.g. happy or sad
- I can identify simple differences in pieces of music
- I can listen with concentration to a range of music (links to the Music curriculum)</t>
  </si>
  <si>
    <t>To identify that there are patterns in music</t>
  </si>
  <si>
    <t>- I can create a rhythm pattern
- I can explain that music is created and played by humans
- I can play an instrument following a rhythm pattern</t>
  </si>
  <si>
    <t>To show how music is made from a series of notes</t>
  </si>
  <si>
    <t>- I can identify that music is a sequence of notes
- I can refine my musical pattern on a computer
- I can use a computer to create a musical pattern using three notes</t>
  </si>
  <si>
    <t>CM,DI</t>
  </si>
  <si>
    <t>To create music for a purpose</t>
  </si>
  <si>
    <t>- I can describe an animal using sounds
- I can explain my choices
- I can save my work</t>
  </si>
  <si>
    <t>To review and refine our computer work</t>
  </si>
  <si>
    <t>- I can explain how I made my work better
- I can listen to music and describe how it makes me feel
- I can reopen my work</t>
  </si>
  <si>
    <t>Data and information – Pictograms</t>
  </si>
  <si>
    <t>To recognise that we can count and compare objects using tally charts</t>
  </si>
  <si>
    <t>- I can compare totals in a tally chart
- I can record data in a tally chart
- I can represent a tally count as a total</t>
  </si>
  <si>
    <t>- Health, well-being and lifestyle
- Privacy and security
- Self-image and identity</t>
  </si>
  <si>
    <t>To recognise that objects can be represented as pictures</t>
  </si>
  <si>
    <t>- I can enter data onto a computer
- I can use a computer to view data in a different format
- I can use pictograms to answer simple questions about objects</t>
  </si>
  <si>
    <t>DI,ET</t>
  </si>
  <si>
    <t>To create a pictogram</t>
  </si>
  <si>
    <t>- I can explain what the pictogram shows
- I can organise data in a tally chart
- I can use a tally chart to create a pictogram</t>
  </si>
  <si>
    <t>To select objects by attribute and make comparisons</t>
  </si>
  <si>
    <t>- I can answer ‘more than’/’less than’ and ’most/least’ questions about an attribute
- I can create a pictogram to arrange objects by an attribute
- I can tally objects using a common attribute</t>
  </si>
  <si>
    <t>To recognise that people can be described by attributes</t>
  </si>
  <si>
    <t>- I can choose a suitable attribute to compare people
- I can collect the data I need
- I can create a pictogram and draw conclusions from it</t>
  </si>
  <si>
    <t>To explain that we can present information using a computer</t>
  </si>
  <si>
    <t>- I can give simple examples of why information should not be shared
- I can share what I have found out using a computer
- I can use a computer program to present information in different ways</t>
  </si>
  <si>
    <t>DI,ET,SS</t>
  </si>
  <si>
    <t>Programming A – Robot algorithms</t>
  </si>
  <si>
    <t>To describe a series of instructions as a sequence</t>
  </si>
  <si>
    <t>- I can choose a series of words that can be enacted as a sequence
- I can follow instructions given by someone else
- I can give clear and unambiguous instructions</t>
  </si>
  <si>
    <t>To explain what happens when we change the order of instructions</t>
  </si>
  <si>
    <t>- I can create different algorithms for a range of sequences (using the same commands)
- I can show the difference in outcomes between two sequences that consist of the same commands
- I can use an algorithm to program a sequence on a floor robot</t>
  </si>
  <si>
    <t>To use logical reasoning to predict the outcome of a program (series of commands)</t>
  </si>
  <si>
    <t>- I can compare my prediction to the program outcome
- I can follow a sequence
- I can predict the outcome of a sequence</t>
  </si>
  <si>
    <t>AL,PG</t>
  </si>
  <si>
    <t>To explain that programming projects can have code and artwork</t>
  </si>
  <si>
    <t>- I can explain the choices I made for my mat design
- I can identify different routes around my mat
- I can test my mat to make sure that it is usable</t>
  </si>
  <si>
    <t>To design an algorithm</t>
  </si>
  <si>
    <t>- I can create an algorithm to meet my goal
- I can explain what my algorithm should achieve
- I can use my algorithm to create a program</t>
  </si>
  <si>
    <t>To create and debug a program that I have written</t>
  </si>
  <si>
    <t>- I can plan algorithms for different parts of a task
- I can put together the different parts of my program
- I can test and debug each part of the program</t>
  </si>
  <si>
    <t>Programming B – An introduction to quizzes</t>
  </si>
  <si>
    <t>To explain that a sequence of commands has a start</t>
  </si>
  <si>
    <t>- I can identify that a program needs to be started
- I can identify the start of a sequence
- I can show how to run my program</t>
  </si>
  <si>
    <t>1.1,1.2,1.3</t>
  </si>
  <si>
    <t>To explain that a sequence of commands has an outcome</t>
  </si>
  <si>
    <t>- I can change the outcome of a sequence of commands
- I can match two sequences with the same outcome
- I can predict the outcome of a sequence of commands</t>
  </si>
  <si>
    <t>To create a program using a given design</t>
  </si>
  <si>
    <t>- I can build the sequences of blocks I need
- I can decide which blocks to use to meet the design
- I can work out the actions of a sprite in an algorithm</t>
  </si>
  <si>
    <t>To change a given design</t>
  </si>
  <si>
    <t>- I can choose backgrounds for the design
- I can choose characters for the design
- I can create a program based on the new design</t>
  </si>
  <si>
    <t>To create a program using my own design</t>
  </si>
  <si>
    <t>- I can build sequences of blocks to match my design
- I can choose the images for my own design
- I can create an algorithm</t>
  </si>
  <si>
    <t>To decide how my project can be improved</t>
  </si>
  <si>
    <t>- I can compare my project to my design
- I can debug my program
- I can improve my project by adding features</t>
  </si>
  <si>
    <t>Computing systems and networks – Connecting computers</t>
  </si>
  <si>
    <t>To explain how digital devices function</t>
  </si>
  <si>
    <t>- I can explain that digital devices accept inputs
- I can explain that digital devices produce outputs
- I can follow a process</t>
  </si>
  <si>
    <t>2.2,2.4,2.6</t>
  </si>
  <si>
    <t>To identify input and output devices</t>
  </si>
  <si>
    <t>- I can classify input and output devices
- I can describe a simple process
- I can design a digital device</t>
  </si>
  <si>
    <t>To recognise how digital devices can change the way we work</t>
  </si>
  <si>
    <t>- I can explain how I use digital devices for different activities
- I can recognise similarities between using digital devices and non-digital tools
- I can suggest differences between using digital devices and non-digital tools</t>
  </si>
  <si>
    <t>To explain how a computer network can be used to share information</t>
  </si>
  <si>
    <t>- I can discuss why we need a network switch
- I can explain how messages are passed through multiple connections
- I can recognise different connections</t>
  </si>
  <si>
    <t>CS,NW</t>
  </si>
  <si>
    <t>To explore how digital devices can be connected</t>
  </si>
  <si>
    <t>- I can demonstrate how information can be passed between devices
- I can explain the role of a switch, server, and wireless access point in a network
- I can recognise that a computer network is made up of a number of devices</t>
  </si>
  <si>
    <t>To recognise the physical components of a network</t>
  </si>
  <si>
    <t>- I can identify how devices in a network are connected together
- I can identify networked devices around me
- I can identify the benefits of computer networks</t>
  </si>
  <si>
    <t>Creating media – Animation</t>
  </si>
  <si>
    <t>To explain that animation is a sequence of drawings or photographs</t>
  </si>
  <si>
    <t>- I can create an effective flip book—style animation
- I can draw a sequence of pictures
- I can explain how an animation/flip book works</t>
  </si>
  <si>
    <t>2.6,2.7</t>
  </si>
  <si>
    <t>To relate animated movement with a sequence of images</t>
  </si>
  <si>
    <t>- I can create an effective stop-frame animation
- I can explain why little changes are needed for each frame
- I can predict what an animation will look like</t>
  </si>
  <si>
    <t>To plan an animation</t>
  </si>
  <si>
    <t>- I can break down a story into settings, characters and events
- I can create a storyboard
- I can describe an animation that is achievable on screen</t>
  </si>
  <si>
    <t>To identify the need to work consistently and carefully</t>
  </si>
  <si>
    <t>- I can evaluate the quality of my animation
- I can review a sequence of frames to check my work
- I can use onion skinning to help me make small changes between frames</t>
  </si>
  <si>
    <t>To review and improve an animation</t>
  </si>
  <si>
    <t>- I can evaluate another learner’s animation
- I can explain ways to make my animation better
- I can improve my animation based on feedback</t>
  </si>
  <si>
    <t>To evaluate the impact of adding other media to an animation</t>
  </si>
  <si>
    <t>- I can add other media to my animation
- I can evaluate my final film
- I can explain why I added other media to my animation</t>
  </si>
  <si>
    <t>Creating media – Desktop publishing</t>
  </si>
  <si>
    <t>To recognise how text and images convey information</t>
  </si>
  <si>
    <t>- I can explain the difference between text and images
- I can identify the advantages and disadvantages of using text and images
- I can recognise that text and images can communicate messages clearly</t>
  </si>
  <si>
    <t>2.5,2.6</t>
  </si>
  <si>
    <t>To recognise that text and layout can be edited</t>
  </si>
  <si>
    <t>- I can change font style, size, and colours for a given purpose
- I can edit text
- I can explain that text can be changed to communicate more clearly</t>
  </si>
  <si>
    <t>To choose appropriate page settings</t>
  </si>
  <si>
    <t>- I can create a template for a particular purpose
- I can define the term 'page orientation'
- I can recognise placeholders and say why they are important</t>
  </si>
  <si>
    <t>To add content to a desktop publishing publication</t>
  </si>
  <si>
    <t>- I can choose the best locations for my content
- I can make changes to content after I’ve added it
- I can paste text and images to create a magazine cover</t>
  </si>
  <si>
    <t>To consider how different layouts can suit different purposes</t>
  </si>
  <si>
    <t>- I can choose a suitable layout for a given purpose
- I can identify different layouts
- I can match a layout to a purpose</t>
  </si>
  <si>
    <t>To consider the benefits of desktop publishing</t>
  </si>
  <si>
    <t>- I can compare work made on desktop publishing to work created by hand
- I can identify the uses of desktop publishing in the real world
- I can say why desktop publishing might be helpful</t>
  </si>
  <si>
    <t>CM,DD,ET,IT</t>
  </si>
  <si>
    <t>Data and information – Branching databases</t>
  </si>
  <si>
    <t>To create questions with yes/no answers</t>
  </si>
  <si>
    <t>- I can create two groups of objects separated by one attribute
- I can investigate questions with yes/no answers
- I can make up a yes/no question about a collection of objects</t>
  </si>
  <si>
    <t>To identify the object attributes needed to collect relevant data</t>
  </si>
  <si>
    <t>- I can arrange objects into a tree structure
- I can create a group of objects within an existing group
- I can select an attribute to separate objects into groups</t>
  </si>
  <si>
    <t>To create a branching database</t>
  </si>
  <si>
    <t>- I can group objects using my own yes/no questions
- I can prove my branching database works
- I can select objects to arrange in a branching database</t>
  </si>
  <si>
    <t>To explain why it is helpful for a database to be well structured</t>
  </si>
  <si>
    <t>- I can compare two branching database structures
- I can create yes/no questions using given attributes
- I can explain that questions need to be ordered carefully to split objects into similarly sized groups</t>
  </si>
  <si>
    <t>DD,DI,ET</t>
  </si>
  <si>
    <t>To identify objects using a branching database</t>
  </si>
  <si>
    <t>- I can create questions and apply them to a tree structure
- I can select a theme and choose a variety of objects
- I can use my branching database to answer questions</t>
  </si>
  <si>
    <t>To compare the information shown in a pictogram with a branching database</t>
  </si>
  <si>
    <t>- I can compare two ways of presenting information
- I can explain what a branching database tells me
- I can explain what a pictogram tells me</t>
  </si>
  <si>
    <t>DD,DI</t>
  </si>
  <si>
    <t>Programming A – Sequence in music</t>
  </si>
  <si>
    <t>To explore a new programming environment</t>
  </si>
  <si>
    <t>- I can explain that objects in Scratch have attributes (linked to)
- I can identify the objects in a Scratch project (sprites, backdrops)
- I can recognise that commands in Scratch are represented as blocks</t>
  </si>
  <si>
    <t>2.1,2.2,2.3,2.6</t>
  </si>
  <si>
    <t>ET,PG</t>
  </si>
  <si>
    <t>To identify that commands have an outcome</t>
  </si>
  <si>
    <t>- I can choose a word which describes an on-screen action for my plan
- I can create a program following a design
- I can identify that each sprite is controlled by the commands I choose</t>
  </si>
  <si>
    <t>To explain that a program has a start</t>
  </si>
  <si>
    <t>- I can create a sequence of connected commands
- I can explain that the objects in my project will respond exactly to the code
- I can start a program in different ways</t>
  </si>
  <si>
    <t>To recognise that a sequence of commands can have an order</t>
  </si>
  <si>
    <t>- I can combine sound commands
- I can explain what a sequence is
- I can order notes into a sequence</t>
  </si>
  <si>
    <t>To change the appearance of my project</t>
  </si>
  <si>
    <t>- I can build a sequence of commands
- I can decide the actions for each sprite in a program
- I can make design choices for my artwork</t>
  </si>
  <si>
    <t>To create a project from a task description</t>
  </si>
  <si>
    <t>- I can identify and name the objects I will need for a project
- I can implement my algorithm as code
- I can relate a task description to a design</t>
  </si>
  <si>
    <t>AL,CM,DD,PG</t>
  </si>
  <si>
    <t>Programming B – Events and actions</t>
  </si>
  <si>
    <t>To explain how a sprite moves in an existing project</t>
  </si>
  <si>
    <t>- I can choose which keys to use for actions and explain my choices
- I can explain the relationship between an event and an action
- I can identify a way to improve a program</t>
  </si>
  <si>
    <t>To create a program to move a sprite in four directions</t>
  </si>
  <si>
    <t>- I can choose a character for my project
- I can choose a suitable size for a character in a maze
- I can program movement</t>
  </si>
  <si>
    <t>To adapt a program to a new context</t>
  </si>
  <si>
    <t>- I can choose blocks to set up my program
- I can consider the real world when making design choices
- I can use a programming extension</t>
  </si>
  <si>
    <t>To develop my program by adding features</t>
  </si>
  <si>
    <t>- I can build more sequences of commands to make my design work
- I can choose suitable keys to turn on additional features
- I can identify additional features (from a given set of blocks)</t>
  </si>
  <si>
    <t>To identify and fix bugs in a program</t>
  </si>
  <si>
    <t>- I can match a piece of code to an outcome
- I can modify a program using a design
- I can test a program against a given design</t>
  </si>
  <si>
    <t>To design and create a maze-based challenge</t>
  </si>
  <si>
    <t>- I can evaluate my project
- I can implement my design
- I can make design choices and justify them</t>
  </si>
  <si>
    <t>Computing systems and networks – The Internet</t>
  </si>
  <si>
    <t>To describe how networks physically connect to other networks</t>
  </si>
  <si>
    <t>- I can demonstrate how information is shared across the internet
- I can describe the internet as a network of networks
- I can discuss why a network needs protecting</t>
  </si>
  <si>
    <t>2.4,2.5,2.6,2.7</t>
  </si>
  <si>
    <t>NW,SS</t>
  </si>
  <si>
    <t>- Managing online information</t>
  </si>
  <si>
    <t>To recognise how networked devices make up the internet</t>
  </si>
  <si>
    <t>- I can describe networked devices and how they connect
- I can explain that the internet is used to provide many services
- I can recognise that the World Wide Web contains websites and web pages</t>
  </si>
  <si>
    <t>To outline how websites can be shared via the World Wide Web (WWW)</t>
  </si>
  <si>
    <t>- I can describe how to access websites on the WWW
- I can describe where websites are stored when uploaded to the WWW
- I can explain the types of media that can be shared on the WWW</t>
  </si>
  <si>
    <t>To describe how content can be added and accessed on the World Wide Web (WWW)</t>
  </si>
  <si>
    <t>- I can explain that internet services can be used to create content online
- I can explain what media can be found on websites
- I can recognise that I can add content to the WWW</t>
  </si>
  <si>
    <t>CM,NW</t>
  </si>
  <si>
    <t>To recognise how the content of the WWW is created by people</t>
  </si>
  <si>
    <t xml:space="preserve">- I can explain that there are rules to protect content
- I can explain that websites and their content are created by people 
- I can suggest who owns the content on websites </t>
  </si>
  <si>
    <t>To evaluate the consequences of unreliable content</t>
  </si>
  <si>
    <t>- I can explain that not everything on the World Wide Web is true
- I can explain why I need to think carefully before I share or reshare content
- I can explain why some information I find online may not be honest, accurate, or legal</t>
  </si>
  <si>
    <t>IT,NW,SS</t>
  </si>
  <si>
    <t>Creating media – Audio editing</t>
  </si>
  <si>
    <t>To identify that sound can be digitally recorded</t>
  </si>
  <si>
    <t>- I can identify digital devices that can record sound and play it back
- I can identify the inputs and outputs required to play audio or record sound
- I can recognise the range of sounds that can be recorded</t>
  </si>
  <si>
    <t>2.5,2.6,2.7</t>
  </si>
  <si>
    <t>CS,DI</t>
  </si>
  <si>
    <t>To use a digital device to record sound</t>
  </si>
  <si>
    <t>- I can discuss what other people include when recording sound for a podcast
- I can suggest how to improve my recording
- I can use a device to record audio and play back sound</t>
  </si>
  <si>
    <t>CM,CS,DD,ET</t>
  </si>
  <si>
    <t>To explain that a digital recording is stored as a file</t>
  </si>
  <si>
    <t>- I can discuss why it is useful to be able to save digital recordings
- I can plan and write the content for a podcast
- I can save a digital recording as a file</t>
  </si>
  <si>
    <t>CM,DD,DI,ET</t>
  </si>
  <si>
    <t>To explain that audio can be changed through editing</t>
  </si>
  <si>
    <t>- I can discuss ways in which audio recordings can be altered
- I can edit sections of of an audio recording
- I can open a digital recording from a file</t>
  </si>
  <si>
    <t>To show that different types of audio can be combined and played together</t>
  </si>
  <si>
    <t>- I can choose suitable sounds to include in a podcast
- I can discuss sounds that other people combine
- I can use editing tools to arrange sections of audio</t>
  </si>
  <si>
    <t>To evaluate editing choices made</t>
  </si>
  <si>
    <t>- I can discuss the features of a digital recording I like
- I can explain that digital recordings need to be exported to share them
- I can suggest improvements to a digital recording</t>
  </si>
  <si>
    <t>Creating media – Photo editing</t>
  </si>
  <si>
    <t>To explain that digital images can be changed</t>
  </si>
  <si>
    <t>- I can explain the effect that editing can have on an image
- I can explore how images can be changed in real life
- I can identify changes that we can make to an image</t>
  </si>
  <si>
    <t>To change the composition of an image</t>
  </si>
  <si>
    <t>- I can change the composition of an image by selecting parts of it
- I can consider why someone might want to change the composition of an image
- I can explain what has changed in an edited image</t>
  </si>
  <si>
    <t>CM,ET,IT</t>
  </si>
  <si>
    <t>To describe how images can be changed for different uses</t>
  </si>
  <si>
    <t>- I can choose effects to make my image fit a scenario
- I can explain why my choices fit a scenario
- I can talk about changes made to images</t>
  </si>
  <si>
    <t>To make good choices when selecting different tools</t>
  </si>
  <si>
    <t>- I can choose appropriate tools to retouch an image
- I can give examples of positive and negative effects that retouching can have on an image
- I can identify how an image has been retouched</t>
  </si>
  <si>
    <t>To recognise that not all images are real</t>
  </si>
  <si>
    <t>- I can combine parts of images to create new images
- I can sort images into ‘fake’ or ‘real’ and explain my choices
- I can talk about fake images around me</t>
  </si>
  <si>
    <t>CM,ET,SS</t>
  </si>
  <si>
    <t>To evaluate how changes can improve an image</t>
  </si>
  <si>
    <t>- I can compare the original image with my completed publication
- I can consider the effect of adding other elements to my work
- I can evaluate the impact of my publication on others through feedback</t>
  </si>
  <si>
    <t>Data and information – Data logging</t>
  </si>
  <si>
    <t>To explain that data gathered over time can be used to answer questions</t>
  </si>
  <si>
    <t>- I can choose a data set to answer a given question
- I can identify data that can be gathered over time
- I can suggest questions that can be answered using a given data set</t>
  </si>
  <si>
    <t>2.2,2.6</t>
  </si>
  <si>
    <t>To use a digital device to collect data automatically</t>
  </si>
  <si>
    <t>- I can explain that sensors are input devices
- I can identify that data from sensors can be recorded
- I can use data from a sensor to answer a given question</t>
  </si>
  <si>
    <t>CS,DI,ET</t>
  </si>
  <si>
    <t>To explain that a data logger collects ‘data points’ from sensors over time</t>
  </si>
  <si>
    <t>- I can identify a suitable place to collect data
- I can identify the intervals used to collect data
- I can talk about the data that I have captured</t>
  </si>
  <si>
    <t>To use data collected over a long duration to find information</t>
  </si>
  <si>
    <t>- I can import a data set
- I can use a computer program to sort data
- I can use a computer to view data in different ways</t>
  </si>
  <si>
    <t>To identify the data needed to answer questions</t>
  </si>
  <si>
    <t>- I can plan how to collect data using a data logger
- I can propose a question that can be answered using logged data
- I can use a data logger to collect data</t>
  </si>
  <si>
    <t>To use collected data to answer questions</t>
  </si>
  <si>
    <t>- I can draw conclusions from the data that I have collected
- I can explain the benefits of using a data logger
- I can interpret data that has been collected using a data logger</t>
  </si>
  <si>
    <t>Programming A – Repetition in shapes</t>
  </si>
  <si>
    <t>To identify that accuracy in programming is important</t>
  </si>
  <si>
    <t>- I can create a code snippet for a given purpose
- I can explain the effect of changing a value of a command
- I can program a computer by typing commands</t>
  </si>
  <si>
    <t>To create a program in a text-based language</t>
  </si>
  <si>
    <t>- I can test my algorithm in a text-based language
- I can use a template to create a design for my program
- I can write an algorithm to produce a given outcome</t>
  </si>
  <si>
    <t>To explain what ‘repeat’ means</t>
  </si>
  <si>
    <t>- I can identify everyday tasks that include repetition as part of a sequence, eg brushing teeth, dance moves
- I can identify patterns in a sequence
- I can use a count-controlled loop to produce a given outcome</t>
  </si>
  <si>
    <t>To modify a count-controlled loop to produce a given outcome</t>
  </si>
  <si>
    <t>- I can choose which values to change in a loop
- I can identify the effect of changing the number of times a task is repeated
- I can predict the outcome of a program containing a count-controlled loop</t>
  </si>
  <si>
    <t>To decompose a task into small steps</t>
  </si>
  <si>
    <t>- I can explain that a computer can repeatedly call a procedure
- I can identify ‘chunks’ of actions in the real world
- I can use a procedure in a program</t>
  </si>
  <si>
    <t>To create a program that uses count-controlled loops to produce a given outcome</t>
  </si>
  <si>
    <t>- I can design a program that includes count-controlled loops
- I can develop my program by debugging it
- I can make use of my design to write a program</t>
  </si>
  <si>
    <t>Programming B – Repetition in games</t>
  </si>
  <si>
    <t>To develop the use of count-controlled loops in a different programming environment</t>
  </si>
  <si>
    <t>- I can list an everyday task as a set of instructions including repetition
- I can modify a snippet of code to create a given outcome
- I can predict the outcome of a snippet of code</t>
  </si>
  <si>
    <t>2.1,2.2,2.3</t>
  </si>
  <si>
    <t>To explain that in programming there are infinite loops and count controlled loops</t>
  </si>
  <si>
    <t>- I can choose when to use a count-controlled and an infinite loop
- I can modify loops to produce a given outcome
- I can recognise that some programming languages enable more than one process to be run at once</t>
  </si>
  <si>
    <t>To develop a design that includes two or more loops which run at the same time</t>
  </si>
  <si>
    <t>- I can choose which action will be repeated for each object
- I can evaluate the effectiveness of the repeated sequences used in my program
- I can explain what the outcome of the repeated action should be</t>
  </si>
  <si>
    <t>To modify an infinite loop in a given program</t>
  </si>
  <si>
    <t>- I can explain the effect of my changes
- I can identify which parts of a loop can be changed
- I can re-use existing code snippets on new sprites</t>
  </si>
  <si>
    <t>To design a project that includes repetition</t>
  </si>
  <si>
    <t>- I can develop my own design explaining what my project will do
- I can evaluate the use of repetition in a project
- I can select key parts of a given project to use in my own design</t>
  </si>
  <si>
    <t>To create a project that includes repetition</t>
  </si>
  <si>
    <t>- I can build a program that follows my design
- I can evaluate the steps I followed when building my project
- I can refine the algorithm in my design</t>
  </si>
  <si>
    <t>Computing systems and networks – Sharing information</t>
  </si>
  <si>
    <t>To explain that computers can be connected together to form systems</t>
  </si>
  <si>
    <t>- I can describe that a computer system features inputs, processes, and outputs
- I can explain that computer systems communicate with other devices
- I can explain that systems are built using a number of parts</t>
  </si>
  <si>
    <t>2.1,2.2,2.4,2.6,2.7</t>
  </si>
  <si>
    <t>To recognise the role of computer systems in our lives</t>
  </si>
  <si>
    <t>- I can explain the benefits of a given computer system
- I can identify tasks that are managed by computer systems
- I can identify the human elements of a computer system</t>
  </si>
  <si>
    <t>To recognise how information is transferred over the internet</t>
  </si>
  <si>
    <t>- I can explain that data is transferred over networks in packets
- I can explain that networked digital devices have unique addresses
- I can recognise that data is transferred using agreed methods</t>
  </si>
  <si>
    <t>To explain how sharing information online lets people in different places work together</t>
  </si>
  <si>
    <t>- I can explain that the internet allows different media to be shared
- I can recognise that connected digital devices can allow us to access shared files stored online
- I can send information over the internet in different ways</t>
  </si>
  <si>
    <t>IT,NW</t>
  </si>
  <si>
    <t>To contribute to a shared project online</t>
  </si>
  <si>
    <t>- I can compare working online with working offline
- I can make thoughtful suggestions on my group’s work
- I can suggest strategies to ensure successful group work</t>
  </si>
  <si>
    <t>ET,NW</t>
  </si>
  <si>
    <t>To evaluate different ways of working together online</t>
  </si>
  <si>
    <t>- I can explain how the internet enables effective collaboration
- I can identify different ways of working together online
- I can recognise that working together on the internet can be public or private</t>
  </si>
  <si>
    <t>DD,ET,NW</t>
  </si>
  <si>
    <t>Creating media – Vector drawing</t>
  </si>
  <si>
    <t>To identify that drawing tools can be used to produce different outcomes</t>
  </si>
  <si>
    <t>- I can discuss how a vector drawing is different from paper-based drawings
- I can identify the main drawing tools
- I can recognise that vector drawings are made using shapes</t>
  </si>
  <si>
    <t>CM,DI,ET</t>
  </si>
  <si>
    <t>To create a vector drawing by combining shapes</t>
  </si>
  <si>
    <t>- I can explain that each element added to a vector drawing is an object
- I can identify the shapes used to make a vector drawing
- I can move, resize, and rotate objects I have duplicated</t>
  </si>
  <si>
    <t>To use tools to achieve a desired effect</t>
  </si>
  <si>
    <t>- I can explain how alignment grids and resize handles can be used to improve consistency
- I can modify objects to create different effects
- I can use the zoom tool to help me add detail to my drawings</t>
  </si>
  <si>
    <t>To recognise that vector drawings consist of layers</t>
  </si>
  <si>
    <t>- I can change the order of layers in a vector drawing
- I can identify that each added object creates a new layer in the drawing
- I can identify which objects are in the front layer or in the back layer of a drawing</t>
  </si>
  <si>
    <t>To group objects to make them easier to work with</t>
  </si>
  <si>
    <t>- I can copy part of a drawing by duplicating several objects
- I can group to create a single object
- I can reuse a group of objects to further develop my vector drawing</t>
  </si>
  <si>
    <t>To evaluate my vector drawing</t>
  </si>
  <si>
    <t>- I can apply what I have learned about vector drawings
- I can suggest improvements to a vector drawing
- I create alternatives to vector drawings</t>
  </si>
  <si>
    <t>Creating media – Video editing</t>
  </si>
  <si>
    <t>To explain what makes a video effective</t>
  </si>
  <si>
    <t>- I can compare features in different videos
- I can explain that video is a visual media format
- I can identify features of videos</t>
  </si>
  <si>
    <t>To identify digital devices that can record video</t>
  </si>
  <si>
    <t>- I can experiment with different camera angles
- I can identify and find features on a digital video recording device
- I can make use of a microphone</t>
  </si>
  <si>
    <t>To capture video using a range of techniques</t>
  </si>
  <si>
    <t>- I can capture video using a range of filming techniques
- I can review how effective my video is
- I can suggest filming techniques for a given purpose</t>
  </si>
  <si>
    <t>CM,SS</t>
  </si>
  <si>
    <t>To create a storyboard</t>
  </si>
  <si>
    <t>- I can create and save video content
- I can decide which filming techniques I will use
- I can outline the scenes of my video</t>
  </si>
  <si>
    <t>To identify that video can be improved through reshooting and editing</t>
  </si>
  <si>
    <t>- I can explain how to improve a video by reshooting and editing
- I can select the correct tools to make edits to my video
- I can store, retrieve, and export my recording to a computer</t>
  </si>
  <si>
    <t>To consider the impact of the choices made when making and sharing a video</t>
  </si>
  <si>
    <t>- I can evaluate my video and share my opinions
- I can make edits to my video and improve the final outcome
- I can recognise that my choices when making a video will impact on the quality of the final outcome</t>
  </si>
  <si>
    <t>Data and information – Flat-file databases</t>
  </si>
  <si>
    <t>To use a form to record information</t>
  </si>
  <si>
    <t>- I can create multiple questions about the same field
- I can explain how information can be recorded
- I can order, sort, and group my data cards</t>
  </si>
  <si>
    <t>To compare paper and computer-based databases</t>
  </si>
  <si>
    <t>- I can choose which field to sort data by to answer a given question
- I can explain what a ‘field’ and a ‘record’ is in a database
- I can navigate a flat-file database to compare different views of information</t>
  </si>
  <si>
    <t>To outline how grouping and then sorting data allows us to answer questions</t>
  </si>
  <si>
    <t>- I can combine grouping and sorting to answer more specific questions
- I can explain how information can be grouped
- I can group information to answer questions</t>
  </si>
  <si>
    <t>To explain that tools can be used to select specific data</t>
  </si>
  <si>
    <t>- I can choose multiple criteria to answer a given question
- I can choose which field and value are required to answer a given question
- I can outline how ‘AND’ and ‘OR’ can be used to refine data selection</t>
  </si>
  <si>
    <t>To explain that computer programs can be used to compare data visually</t>
  </si>
  <si>
    <t>- I can explain the benefits of using a computer to create graphs
- I can refine a chart by selecting a particular filter
- I can select an appropriate chart to visually compare data</t>
  </si>
  <si>
    <t>To apply my knowledge of a database to ask and answer real-world questions</t>
  </si>
  <si>
    <t>- I can ask questions that will need more than one field to answer
- I can present my findings to a group
- I can refine a search in a real-world context</t>
  </si>
  <si>
    <t>Programming A – Selection in physical computing</t>
  </si>
  <si>
    <t>To control a simple circuit connected to a computer</t>
  </si>
  <si>
    <t>- I can create a simple circuit and connect it to a microcontroller
- I can explain what an infinite loop does
- I can program a microcontroller to make an LED switch on</t>
  </si>
  <si>
    <t>CS,PG</t>
  </si>
  <si>
    <t>To write a program that includes count-controlled loops</t>
  </si>
  <si>
    <t>- I can connect more than one output component to a microcontroller
- I can design sequences that use count-controlled loops
- I can use a count-controlled loop to control outputs</t>
  </si>
  <si>
    <t>To explain that a loop can stop when a condition is met</t>
  </si>
  <si>
    <t>- I can design a conditional loop
- I can explain that a condition is either true or  
- I can program a microcontroller to respond to an input</t>
  </si>
  <si>
    <t>To explain that a loop can be used to repeatedly check whether a condition has been met</t>
  </si>
  <si>
    <t>- I can explain that a condition being met can start an action
- I can identify a condition and an action in my project
- I can use selection (an ‘if…then…’ statement) to direct the flow of a program</t>
  </si>
  <si>
    <t>To design a physical project that includes selection</t>
  </si>
  <si>
    <t>- I can create a detailed drawing of my project
- I can describe what my project will do
- I can identify a real-world example of a condition starting an action</t>
  </si>
  <si>
    <t>CS,DD,PG</t>
  </si>
  <si>
    <t>To create a program that controls a physical computing project</t>
  </si>
  <si>
    <t>- I can test and debug my project
- I can use selection to produce an intended outcome
- I can write an algorithm that describes what my model will do</t>
  </si>
  <si>
    <t>Programming B – Selection in quizzes</t>
  </si>
  <si>
    <t>To explain how selection is used in computer programs</t>
  </si>
  <si>
    <t>- I can identify conditions in a program
- I can modify a condition in a program
- I can recall how conditions are used in selection</t>
  </si>
  <si>
    <t>To relate that a conditional statement connects a condition to an outcome</t>
  </si>
  <si>
    <t>- I can create a program with different outcomes using selection
- I can identify the condition and outcomes in an 'if... then… else...' statement
- I can use selection in an infinite loop to check a condition</t>
  </si>
  <si>
    <t>To explain how selection directs the flow of a program</t>
  </si>
  <si>
    <t>- I can design the flow of a program which contains ‘if… then… else…’
- I can explain that program flow can branch according to a condition
- I can show that a condition can direct program flow in one of two ways</t>
  </si>
  <si>
    <t>To design a program which uses selection</t>
  </si>
  <si>
    <t>- I can identify the outcome of user input in an algorithm
- I can outline a given task
- I can use a design format to outline my project</t>
  </si>
  <si>
    <t>To create a program which uses selection</t>
  </si>
  <si>
    <t>- I can implement my algorithm to create the first section of my program
- I can share my program with others
- I can test my program</t>
  </si>
  <si>
    <t>To evaluate my program</t>
  </si>
  <si>
    <t>- I can extend my program further
- I can identify the setup code I need in my program
- I can identify ways the program could be improved</t>
  </si>
  <si>
    <t>Computing systems and networks – Communication</t>
  </si>
  <si>
    <t>To identify how to use a search engine</t>
  </si>
  <si>
    <t>- I can compare results from different search engines
- I can complete a web search to find specific information
- I can refine my search</t>
  </si>
  <si>
    <t>2.1,2.4,2.5,2.6,2.7</t>
  </si>
  <si>
    <t>To describe how search engines select results</t>
  </si>
  <si>
    <t>- I can explain why we need tools to find things online
- I can recognise the role of web crawlers in creating an index
- I can relate a search term to the search engine’s index</t>
  </si>
  <si>
    <t>To explain how search results are ranked</t>
  </si>
  <si>
    <t>- I can explain that a search engine follows rules to rank relevant pages
- I can explain that search results are ordered
- I can suggest some of the criteria that a search engine checks to decide on the order of results</t>
  </si>
  <si>
    <t>To recognise why the order of results is important, and to whom</t>
  </si>
  <si>
    <t>- I can describe some of the ways that search results can be influenced
- I can explain how search engines make money
- I can recognise some of the limitations of search engines</t>
  </si>
  <si>
    <t>ET,IT,NW</t>
  </si>
  <si>
    <t>To recognise how we communicate using technology</t>
  </si>
  <si>
    <t>- I can choose methods of communication to suit particular purposes
- I can explain the different ways in which people communicate
- I can identify that there are a variety of ways of communicating over the internet</t>
  </si>
  <si>
    <t>To evaluate different methods of online communication</t>
  </si>
  <si>
    <t>- I can compare different methods of communicating on the internet
- I can decide when I should and should not share
- I can explain that communication on the internet may not be private</t>
  </si>
  <si>
    <t>Creating media – 3D Modelling</t>
  </si>
  <si>
    <t>To use a computer to create and manipulate three-dimensional (3D) digital objects</t>
  </si>
  <si>
    <t>- I can discuss the similarities and differences between 2D and 3D shapes
- I can explain why we might represent 3D objects on a computer
- I can select, move, and delete a digital 3D shape</t>
  </si>
  <si>
    <t>To compare working digitally with 2D and 3D graphics</t>
  </si>
  <si>
    <t>- I can change the colour of a 3D object
- I can identify how graphical objects can be modified
- I can resize a 3D object</t>
  </si>
  <si>
    <t>To construct a digital 3D model of a physical object</t>
  </si>
  <si>
    <t>- I can position 3D objects in relation to each other
- I can rotate a 3D object
- I can select and duplicate multiple 3D objects</t>
  </si>
  <si>
    <t>To identify that physical objects can be broken down into a collection of 3D shapes</t>
  </si>
  <si>
    <t>- I can create digital 3D objects of an appropriate size
- I can group a digital 3D shape and a placeholder to create a hole in an object
- I can identify the 3D shapes needed to create a model of a real-world object</t>
  </si>
  <si>
    <t>To design a digital model by combining 3D objects</t>
  </si>
  <si>
    <t>- I can choose which 3D objects I need to construct my model
- I can modify multiple 3D objects
- I can plan my 3D model</t>
  </si>
  <si>
    <t>To develop and improve a digital 3D model</t>
  </si>
  <si>
    <t>- I can decide how my model can be improved
- I can evaluate my model against a given criterion
- I can modify my model to improve it</t>
  </si>
  <si>
    <t>Creating media – Web page creation</t>
  </si>
  <si>
    <t>To review an existing website and consider its structure</t>
  </si>
  <si>
    <t>- I can discuss the different types of media used on websites
- I can explore a website
- I know that websites are written in HTML</t>
  </si>
  <si>
    <t>CM,DD,NW</t>
  </si>
  <si>
    <t>To plan the features of a web page</t>
  </si>
  <si>
    <t>- I can draw a web page layout that suits my purpose
- I can recognise the common features of a web page
- I can suggest media to include on my page</t>
  </si>
  <si>
    <t>To consider the ownership and use of images (copyright)</t>
  </si>
  <si>
    <t>- I can describe what is meant by the term ‘fair use’
- I can find copyright-free images
- I can say why I should use copyright-free images</t>
  </si>
  <si>
    <t>CM,DD,SS</t>
  </si>
  <si>
    <t>To recognise the need to preview pages</t>
  </si>
  <si>
    <t>- I can add content to my own web page
- I can evaluate what my web page looks like on different devices and suggest/make edits
- I can preview what my web page looks like</t>
  </si>
  <si>
    <t>To outline the need for a navigation path</t>
  </si>
  <si>
    <t>- I can describe why navigation paths are useful
- I can explain what a navigation path is
- I can make multiple web pages and link them using hyperlinks</t>
  </si>
  <si>
    <t>CM,DD,ET,NW</t>
  </si>
  <si>
    <t>To recognise the implications of linking to content owned by other people</t>
  </si>
  <si>
    <t>- I can create hyperlinks to link to other people's work
- I can evaluate the user experience of a website
- I can explain the implication of linking to content owned by others</t>
  </si>
  <si>
    <t>CM,DD,ET,IT,NW</t>
  </si>
  <si>
    <t>Data and information – Spreadsheets</t>
  </si>
  <si>
    <t>To identify questions which can be answered using data</t>
  </si>
  <si>
    <t>- I can answer questions from an existing data set
- I can ask simple relevant questions which can be answered using data
- I can explain the relevance of data headings</t>
  </si>
  <si>
    <t>To explain that objects can be described using data</t>
  </si>
  <si>
    <t>- I can apply an appropriate number format to a cell
- I can build a data set in a spreadsheet application
- I can explain what an item of data is</t>
  </si>
  <si>
    <t>To explain that formulas can be used to produce calculated data</t>
  </si>
  <si>
    <t>- I can construct a formula in a spreadsheet
- I can explain the relevance of a cell’s data type
- I can identify that changing inputs changes outputs</t>
  </si>
  <si>
    <t>DI,ET,PG</t>
  </si>
  <si>
    <t>To apply formulas to data, including duplicating</t>
  </si>
  <si>
    <t>- I can apply a formula to multiple cells by duplicating it
- I can create a formula which includes a range of cells
- I can recognise that data can be calculated using different operations</t>
  </si>
  <si>
    <t>To create a spreadsheet to plan an event</t>
  </si>
  <si>
    <t>- I can apply a formula to calculate the data I need to answer questions
- I can explain why data should be organised
- I can use a spreadsheet to answer questions</t>
  </si>
  <si>
    <t>To choose suitable ways to present data</t>
  </si>
  <si>
    <t>- I can produce a graph
- I can suggest when to use a table or graph
- I can use a graph to show the answer to questions</t>
  </si>
  <si>
    <t>Programming A – Variables in games</t>
  </si>
  <si>
    <t>To define a ‘variable’ as something that is changeable</t>
  </si>
  <si>
    <t>- I can explain that the way that a variable changes can be defined
- I can identify examples of information that is variable
- I can identify that variables can hold numbers or letters</t>
  </si>
  <si>
    <t>To explain why a variable is used in a program</t>
  </si>
  <si>
    <t>- I can explain that a variable has a name and a value
- I can identify a program variable as a placeholder in memory for a single value
- I can recognise that the value of a variable can be changed</t>
  </si>
  <si>
    <t>To choose how to improve a game by using variables</t>
  </si>
  <si>
    <t>- I can decide where in a program to change a variable
- I can make use of an event in a program to set a variable
- I can recognise that the value of a variable can be used by a program</t>
  </si>
  <si>
    <t>To design a project that builds on a given example</t>
  </si>
  <si>
    <t>- I can choose the artwork for my project
- I can create algorithms for my project
- I can explain my design choices</t>
  </si>
  <si>
    <t>To use my design to create a project</t>
  </si>
  <si>
    <t>- I can choose a name that identifies the role of a variable
- I can create the artwork for my project
- I can test the code that I have written</t>
  </si>
  <si>
    <t>To evaluate my project</t>
  </si>
  <si>
    <t>- I can extend my game further using more variables
- I can identify ways that my game could be improved
- I can share my game with others</t>
  </si>
  <si>
    <t>Programming B – Sensing</t>
  </si>
  <si>
    <t>To create a program to run on a controllable device</t>
  </si>
  <si>
    <t>- I can apply my knowledge of programming to a new environment
- I can test my program on an emulator
- I can transfer my program to a controllable device</t>
  </si>
  <si>
    <t>To explain that selection can control the flow of a program</t>
  </si>
  <si>
    <t>- I can determine the flow of a program using selection
- I can identify examples of conditions in the real world
- I can use a variable in an if, then, else statement to select the flow of a program</t>
  </si>
  <si>
    <t>To update a variable with a user input</t>
  </si>
  <si>
    <t>- I can experiment with different physical inputs
- I can explain that if you read a variable, the value remains
- I can use a condition to change a variable</t>
  </si>
  <si>
    <t>To use an conditional statement to compare a variable to a value</t>
  </si>
  <si>
    <t>- I can explain the importance of the order of conditions in else, if statements
- I can modify a program to achieve a different outcome
- I can use an operand (e.g. &lt;&gt;=) in an if, then statement</t>
  </si>
  <si>
    <t>To design a project that uses inputs and outputs on a controllable device</t>
  </si>
  <si>
    <t>- I can decide what variables to include in a project
- I can design the algorithm for my project
- I can design the program flow for my project</t>
  </si>
  <si>
    <t>To develop a program to use inputs and outputs on a controllable device</t>
  </si>
  <si>
    <t>- I can create a program based on my design
- I can test my program against my design
- I can use a range of approaches to find and fix bugs</t>
  </si>
  <si>
    <t>Impact of technology – Collaborating online respectfully</t>
  </si>
  <si>
    <t>- Create a memorable and secure password for an account on the school network</t>
  </si>
  <si>
    <t>3.8,3.9</t>
  </si>
  <si>
    <t>ET,SS</t>
  </si>
  <si>
    <t>- Remember the rules of the computing lab</t>
  </si>
  <si>
    <t>- Find personal documents and common applications</t>
  </si>
  <si>
    <t>- Recognise a respectful email</t>
  </si>
  <si>
    <t>- Construct an effective email and send it to the correct recipients</t>
  </si>
  <si>
    <t>- Describe how to communicate with peers online</t>
  </si>
  <si>
    <t>- Plan effective presentations for a given audience</t>
  </si>
  <si>
    <t>- Describe cyberbullying</t>
  </si>
  <si>
    <t>IT,SS</t>
  </si>
  <si>
    <t>- Explain the effects of cyberbullying</t>
  </si>
  <si>
    <t>- Check who you are talking to online</t>
  </si>
  <si>
    <t>Modelling data – Spreadsheets</t>
  </si>
  <si>
    <t>- Identify columns, rows, cells, and cell references in spreadsheet software</t>
  </si>
  <si>
    <t>3.1,3.7</t>
  </si>
  <si>
    <t>- Use formatting techniques in a spreadsheet</t>
  </si>
  <si>
    <t>- Use basic formulas with cell references to perform calculations in a spreadsheet (+, -, *, /)</t>
  </si>
  <si>
    <t>- Use the autofill tool to replicate cell data</t>
  </si>
  <si>
    <t>- Explain the difference between data and information</t>
  </si>
  <si>
    <t>- Explain the difference between primary and secondary sources of data</t>
  </si>
  <si>
    <t>- Collect data</t>
  </si>
  <si>
    <t>- Analyse data</t>
  </si>
  <si>
    <t>- Create appropriate charts in a spreadsheet</t>
  </si>
  <si>
    <t>- Use the functions SUM, COUNTA, MAX, and MIN in a spreadsheet</t>
  </si>
  <si>
    <t>- Use a spreadsheet to sort and filter data</t>
  </si>
  <si>
    <t>- Use the functions AVERAGE, COUNTIF, and IF in a spreadsheet</t>
  </si>
  <si>
    <t>- Use conditional formatting in a spreadsheet</t>
  </si>
  <si>
    <t>- Apply all of the spreadsheet skills covered in this unit</t>
  </si>
  <si>
    <t>Networks from semaphores to the Internet</t>
  </si>
  <si>
    <t>- Define what a computer network is and explain how data is transmitted between computers across networks</t>
  </si>
  <si>
    <t>- Define ‘protocol’ and provide examples of non-networking protocols</t>
  </si>
  <si>
    <t>- List examples of the hardware necessary for connecting devices to networks</t>
  </si>
  <si>
    <t>- Compare wired to wireless connections and list examples of specific technologies currently used to implement such connections</t>
  </si>
  <si>
    <t>- Define ‘bandwidth’, using the appropriate units for measuring the rate at which data is transmitted, and discuss familiar examples where bandwidth is important</t>
  </si>
  <si>
    <t>- Define what the internet is</t>
  </si>
  <si>
    <t>- Explain how data travels between computers across the internet</t>
  </si>
  <si>
    <t>- Describe key words such as ‘protocols’, ‘packets’, and ‘addressing’</t>
  </si>
  <si>
    <t>- Explain the difference between the internet, its services, and the World Wide Web</t>
  </si>
  <si>
    <t>- Describe how services are provided over the internet</t>
  </si>
  <si>
    <t>- List some of these services and the context in which they are used</t>
  </si>
  <si>
    <t>- Explain the term ‘connectivity’ as the capacity for connected devices (‘Internet of Things’) to collect and share information about me with or without my knowledge (including microphones, cameras, and geolocation)</t>
  </si>
  <si>
    <t>- Describe how internet-connected devices can affect me</t>
  </si>
  <si>
    <t>- Describe components (servers, browsers, pages, HTTP and HTTPS protocols, etc.) and how they work together</t>
  </si>
  <si>
    <t>Programming essentials in Scratch – part I</t>
  </si>
  <si>
    <t>- Compare how humans and computers understand instructions (understand and carry out)</t>
  </si>
  <si>
    <t>3.2,3.3,3.4,3.8</t>
  </si>
  <si>
    <t>- Define a sequence as instructions performed in order, with each executed in turn</t>
  </si>
  <si>
    <t>- Predict the outcome of a simple sequence</t>
  </si>
  <si>
    <t>- Modify a sequence</t>
  </si>
  <si>
    <t>- Define a variable as a name that refers to data being stored by the computer</t>
  </si>
  <si>
    <t>- Recognise that computers follow the control flow of input/process/output</t>
  </si>
  <si>
    <t>- Predict the outcome of a simple sequence that includes variables</t>
  </si>
  <si>
    <t>- Trace the values of variables within a sequence</t>
  </si>
  <si>
    <t>- Make a sequence that includes a variable</t>
  </si>
  <si>
    <t>- Define a condition as an expression that will be evaluated as either true or false</t>
  </si>
  <si>
    <t>- Identify that selection uses conditions to control the flow of a sequence</t>
  </si>
  <si>
    <t>- Identify where selection statements can be used in a program</t>
  </si>
  <si>
    <t>- Modify a program to include selection</t>
  </si>
  <si>
    <t>- Create conditions that use comparison operators (&gt;,&lt;,=)</t>
  </si>
  <si>
    <t>- Create conditions that use logic operators (and/or/not)</t>
  </si>
  <si>
    <t>- Identify where selection statements can be used in a program that include comparison and logical operators</t>
  </si>
  <si>
    <t>- Define iteration as a group of instructions that are repeatedly executed</t>
  </si>
  <si>
    <t>- Describe the need for iteration</t>
  </si>
  <si>
    <t>- Identify where count-controlled iteration can be used in a program</t>
  </si>
  <si>
    <t>- Implement count-controlled iteration in a program</t>
  </si>
  <si>
    <t>- Detect and correct errors in a program (debugging)</t>
  </si>
  <si>
    <t>- Independently design and apply programming constructs to solve a problem (subroutine, selection, count-controlled iteration, operators, and variables)</t>
  </si>
  <si>
    <t>Programming essentials in Scratch – part II</t>
  </si>
  <si>
    <t>- Define a subroutine as a group of instructions that will run when called by the main program or other subroutines</t>
  </si>
  <si>
    <t>- Define decomposition as breaking a problem down into smaller, more manageable subproblems</t>
  </si>
  <si>
    <t>- Identify how subroutines can be used for decomposition</t>
  </si>
  <si>
    <t>- Identify where condition-controlled iteration can be used in a program</t>
  </si>
  <si>
    <t>- Implement condition-controlled iteration in a program</t>
  </si>
  <si>
    <t>- Evaluate which type of iteration is required in a program</t>
  </si>
  <si>
    <t>- Define a list as a collection of related elements that are referred to by a single name</t>
  </si>
  <si>
    <t>- Describe the need for lists</t>
  </si>
  <si>
    <t>- Identify when lists can be used in a program</t>
  </si>
  <si>
    <t>- Use a list</t>
  </si>
  <si>
    <t>- Decompose a larger problem into smaller subproblems</t>
  </si>
  <si>
    <t>- Apply appropriate constructs to solve a problem</t>
  </si>
  <si>
    <t>Using media – Gaining support for a cause</t>
  </si>
  <si>
    <t>- Select the most appropriate software to use to complete a task</t>
  </si>
  <si>
    <t>3.7,3.8</t>
  </si>
  <si>
    <t>- Identify the key features of a word processor</t>
  </si>
  <si>
    <t>- Apply the key features of a word processor to format a document</t>
  </si>
  <si>
    <t>- Evaluate formatting techniques to understand why we format documents</t>
  </si>
  <si>
    <t>DD,ET</t>
  </si>
  <si>
    <t>- Select appropriate images for a given context</t>
  </si>
  <si>
    <t>- Apply appropriate formatting techniques</t>
  </si>
  <si>
    <t>- Demonstrate an understanding of licensing issues involving online content by applying appropriate Creative Commons licences</t>
  </si>
  <si>
    <t>- Demonstrate the ability to credit the original source of an image</t>
  </si>
  <si>
    <t>- Critique digital content for credibility</t>
  </si>
  <si>
    <t>- Apply techniques in order to identify whether or not a source is credible</t>
  </si>
  <si>
    <t>- Apply referencing techniques and understand the concept of plagiarism</t>
  </si>
  <si>
    <t>- Evaluate online sources for use in own work</t>
  </si>
  <si>
    <t>CM,IT</t>
  </si>
  <si>
    <t>- Construct a blog using appropriate software</t>
  </si>
  <si>
    <t>- Organise the content of the blog based on credible sources</t>
  </si>
  <si>
    <t>- Apply referencing techniques that credit authors appropriately</t>
  </si>
  <si>
    <t>- Design the layout of the content to make it suitable for the audience</t>
  </si>
  <si>
    <t>- Organise the content of blog based on credible sources</t>
  </si>
  <si>
    <t>- Recall that a general-purpose computing system is a device for executing programs</t>
  </si>
  <si>
    <t>3.4,3.5,3.6</t>
  </si>
  <si>
    <t>- Recall that a program is a sequence of instructions that specify operations that are to be performed on data</t>
  </si>
  <si>
    <t>- Explain the difference between a general-purpose computing system and a purpose-built device</t>
  </si>
  <si>
    <t>- Describe the function of the hardware components used in computing systems</t>
  </si>
  <si>
    <t>- Describe how the hardware components used in computing systems work together in order to execute programs</t>
  </si>
  <si>
    <t>- Recall that all computing systems, regardless of form, have a similar structure (‘architecture’)</t>
  </si>
  <si>
    <t>- Analyse how the hardware components used in computing systems work together in order to execute programs</t>
  </si>
  <si>
    <t>- Define what an operating system is, and recall its role in controlling program execution</t>
  </si>
  <si>
    <t>- Describe the NOT, AND, and OR logical operators, and how they are used to form logical expressions</t>
  </si>
  <si>
    <t>- Use logic gates to construct logic circuits, and associate these with logical operators and expressions</t>
  </si>
  <si>
    <t>- Describe how hardware is built out of increasingly complex logic circuits</t>
  </si>
  <si>
    <t>- Recall that, since hardware is built out of logic circuits, data and instructions alike need to be represented using binary digits</t>
  </si>
  <si>
    <t>CS,DI,PG</t>
  </si>
  <si>
    <t>- Provide broad definitions of ‘artificial intelligence’ and ‘machine learning’</t>
  </si>
  <si>
    <t>- Identify examples of artificial intelligence and machine learning in the real world</t>
  </si>
  <si>
    <t>- Describe the steps involved in training machines to perform tasks (gathering data, training, testing)</t>
  </si>
  <si>
    <t>- Describe how machine learning differs from traditional programming</t>
  </si>
  <si>
    <t>- Associate the use of artificial intelligence with moral dilemmas</t>
  </si>
  <si>
    <t>- Explain the implications of sharing program code</t>
  </si>
  <si>
    <t>IT,PG</t>
  </si>
  <si>
    <t>Developing for the web</t>
  </si>
  <si>
    <t>- Describe what HTML is</t>
  </si>
  <si>
    <t>- Use HTML to structure static web pages</t>
  </si>
  <si>
    <t>CM,PG</t>
  </si>
  <si>
    <t>- Modify HTML tags using inline styling to improve the appearance of web pages</t>
  </si>
  <si>
    <t>CM,DD,PG</t>
  </si>
  <si>
    <t>- Display images within a web page</t>
  </si>
  <si>
    <t>- Apply HTML tags to construct a web page structure from a provided design</t>
  </si>
  <si>
    <t>- Describe what CSS is</t>
  </si>
  <si>
    <t>- Use CSS to style static web pages</t>
  </si>
  <si>
    <t>- Assess the benefits of using CSS to style pages instead of in-line formatting</t>
  </si>
  <si>
    <t>CM,ET,PG</t>
  </si>
  <si>
    <t>- Describe what a search engine is</t>
  </si>
  <si>
    <t>- Explain how search engines ‘crawl’ through the World Wide Web and how they select and rank results</t>
  </si>
  <si>
    <t>AL,CS,NW</t>
  </si>
  <si>
    <t>- Analyse how search engines select and rank results when searches are made</t>
  </si>
  <si>
    <t>AL,NW</t>
  </si>
  <si>
    <t>- Use search technologies effectively</t>
  </si>
  <si>
    <t>- Discuss the impact of search technologies and the issues that arise by the way they function and the way they are used</t>
  </si>
  <si>
    <t>ET,NW,SS</t>
  </si>
  <si>
    <t>- Create hyperlinks to allow users to navigate between multiple web pages</t>
  </si>
  <si>
    <t>- Implement navigation to complete a functioning website</t>
  </si>
  <si>
    <t>- Complete summative assessment</t>
  </si>
  <si>
    <t>DI,ET,IT</t>
  </si>
  <si>
    <t>Introduction to Python programming</t>
  </si>
  <si>
    <t>- Describe what algorithms and programs are and how they differ</t>
  </si>
  <si>
    <t>3.1,3.2,3.3,3.6</t>
  </si>
  <si>
    <t>- Recall that a program written in a programming language needs to be translated in order to be executed by a machine</t>
  </si>
  <si>
    <t>- Write simple Python programs that display messages, assign values to variables, and receive keyboard input</t>
  </si>
  <si>
    <t>- Locate and correct common syntax errors</t>
  </si>
  <si>
    <t>- Describe the semantics of assignment statements</t>
  </si>
  <si>
    <t>- Use simple arithmetic expressions in assignment statements to calculate values</t>
  </si>
  <si>
    <t>- Receive input from the keyboard and convert it to a numerical value</t>
  </si>
  <si>
    <t>- Use relational operators to form logical expressions</t>
  </si>
  <si>
    <t>- Use binary selection (if, else statements) to control the flow of program execution</t>
  </si>
  <si>
    <t>- Generate and use random integers</t>
  </si>
  <si>
    <t>- Use multi-branch selection (if, elif, else statements) to control the flow of program execution</t>
  </si>
  <si>
    <t>- Describe how iteration (while statements) controls the flow of program execution</t>
  </si>
  <si>
    <t>- Use iteration (while loops) to control the flow of program execution</t>
  </si>
  <si>
    <t>- Use variables as counters in iterative programs</t>
  </si>
  <si>
    <t>- Combine iteration and selection to control the flow of program execution</t>
  </si>
  <si>
    <t>- Use Boolean variables as flags</t>
  </si>
  <si>
    <t>Media – Vector graphics</t>
  </si>
  <si>
    <t>- Draw basic shapes (rectangle, ellipse, polygon, star) with different properties (fill and stroke, shape-specific attributes)</t>
  </si>
  <si>
    <t>- Manipulate individual objects (select, move, resize, rotate, duplicate, flip, z-order)</t>
  </si>
  <si>
    <t>- Manipulate groups of objects (select, group/ungroup, align, distribute)</t>
  </si>
  <si>
    <t>- Combine paths by applying operations (union, difference, intersection)</t>
  </si>
  <si>
    <t>- Convert objects to paths</t>
  </si>
  <si>
    <t>- Draw paths</t>
  </si>
  <si>
    <t>- Edit path nodes</t>
  </si>
  <si>
    <t>- Combine multiple tools and techniques to create a vector graphic design</t>
  </si>
  <si>
    <t>- Explain what vector graphics are</t>
  </si>
  <si>
    <t>- Provide examples where using vector graphics would be appropriate</t>
  </si>
  <si>
    <t>- Peer assess another pair’s project work</t>
  </si>
  <si>
    <t>- Improve your own project work based on feedback</t>
  </si>
  <si>
    <t>- Complete a summative assessment</t>
  </si>
  <si>
    <t>Mobile app development</t>
  </si>
  <si>
    <t>- Identify when a problem needs to be broken down</t>
  </si>
  <si>
    <t>3.1,3.2,3.3,3.8</t>
  </si>
  <si>
    <t>- Implement and customise GUI elements to meet the needs of the user</t>
  </si>
  <si>
    <t>DD,ET,PG</t>
  </si>
  <si>
    <t>- Recognise that events can control the flow of a program</t>
  </si>
  <si>
    <t>- Use user input in an event-driven programming environment</t>
  </si>
  <si>
    <t>- Use variables in an event-driven programming environment</t>
  </si>
  <si>
    <t>- Develop a partially complete application to include additional functionality</t>
  </si>
  <si>
    <t>- Identify and fix common coding errors</t>
  </si>
  <si>
    <t>- Pass the value of a variable into an object</t>
  </si>
  <si>
    <t>- Establish user needs when completing a creative project</t>
  </si>
  <si>
    <t>- Apply decomposition to break down a large problem into more manageable steps</t>
  </si>
  <si>
    <t>- Use user input in a block-based programming language</t>
  </si>
  <si>
    <t>- Use a block-based programming language to create a sequence</t>
  </si>
  <si>
    <t>- Use variables in a block-based programming language</t>
  </si>
  <si>
    <t>- Use a block-based programming language to include sequencing and selection</t>
  </si>
  <si>
    <t>- Reflect and react to user feedback</t>
  </si>
  <si>
    <t>- Evaluate the success of the programming project</t>
  </si>
  <si>
    <t>Representations – from clay to silicon</t>
  </si>
  <si>
    <t>- List examples of representations</t>
  </si>
  <si>
    <t>- Recall that representations are used to store, communicate, and process information</t>
  </si>
  <si>
    <t>- Provide examples of how different representations are appropriate for different tasks</t>
  </si>
  <si>
    <t>- Recall that characters can be represented as sequences of symbols and list examples of character coding schemes</t>
  </si>
  <si>
    <t>- Measure the length of a representation as the number of symbols that it contains</t>
  </si>
  <si>
    <t>- Provide examples of how symbols are carried on physical media</t>
  </si>
  <si>
    <t>- Explain what binary digits (bits) are, in terms of familiar symbols such as digits or letters</t>
  </si>
  <si>
    <t>- Measure the size or length of a sequence of bits as the number of binary digits that it contains</t>
  </si>
  <si>
    <t>- Describe how natural numbers are represented as sequences of binary digits</t>
  </si>
  <si>
    <t>- Convert a decimal number to binary and vice versa</t>
  </si>
  <si>
    <t>- Convert between different units and multiples of representation size</t>
  </si>
  <si>
    <t>- Provide examples of the different ways that binary digits are physically represented in digital devices</t>
  </si>
  <si>
    <t>- Apply all of the skills covered in this unit</t>
  </si>
  <si>
    <t>- Critique online services in relation to data privacy</t>
  </si>
  <si>
    <t>DD,SS</t>
  </si>
  <si>
    <t>- Identify what happens to data entered online</t>
  </si>
  <si>
    <t>DI,NW,SS</t>
  </si>
  <si>
    <t>- Explain the need for the Data Protection Act</t>
  </si>
  <si>
    <t>DI,IT,SS</t>
  </si>
  <si>
    <t>- Recognise how human errors pose security risks to data</t>
  </si>
  <si>
    <t>DI,SS</t>
  </si>
  <si>
    <t>- Implement strategies to minimise the risk of data being compromised through human error</t>
  </si>
  <si>
    <t>- Define hacking in the context of cyber security</t>
  </si>
  <si>
    <t>IT,PG,SS</t>
  </si>
  <si>
    <t>- Explain how a DDoS attack can impact users of online services</t>
  </si>
  <si>
    <t>- Identify strategies to reduce the chance of a brute force attack being successful</t>
  </si>
  <si>
    <t>NW,PG,SS</t>
  </si>
  <si>
    <t>- Explain the need for the Computer Misuse Act</t>
  </si>
  <si>
    <t>- List the common malware threats</t>
  </si>
  <si>
    <t>CS,IT,SS</t>
  </si>
  <si>
    <t>- Examine how different types of malware causes problems for computer systems</t>
  </si>
  <si>
    <t>- Question how malicious bots can have an impact on societal issues</t>
  </si>
  <si>
    <t>- Compare security threats against probability and the potential impact to organisations</t>
  </si>
  <si>
    <t>- Explain how networks can be protected from common security threats</t>
  </si>
  <si>
    <t>- Identify the most effective methods to prevent cyberattacks</t>
  </si>
  <si>
    <t>Data science</t>
  </si>
  <si>
    <t>- Define data science</t>
  </si>
  <si>
    <t>- Explain how visualising data can help identify patterns and trends in order to help us gain insights</t>
  </si>
  <si>
    <t>- Use an appropriate software tool to visualise data sets and look for patterns or trends</t>
  </si>
  <si>
    <t>- Recognise examples of where large data sets are used in daily life</t>
  </si>
  <si>
    <t>DI,IT</t>
  </si>
  <si>
    <t>- Select criteria and use data set to investigate predictions</t>
  </si>
  <si>
    <t>- Evaluate findings to support arguments for or against a prediction</t>
  </si>
  <si>
    <t>- Define the terms ‘correlation’ and ‘outliers’ in relation to data trends</t>
  </si>
  <si>
    <t>- Identify the steps of the investigative cycle</t>
  </si>
  <si>
    <t>- Solve a problem by implementing steps of the investigative cycle on a data set</t>
  </si>
  <si>
    <t>- Use findings to support a recommendation</t>
  </si>
  <si>
    <t>- Identify the data needed to answer a question defined by the learner</t>
  </si>
  <si>
    <t>- Create a data capture form</t>
  </si>
  <si>
    <t>- Describe the need for data cleansing</t>
  </si>
  <si>
    <t>- Apply data cleansing techniques to a data set</t>
  </si>
  <si>
    <t>- Visualise a data set</t>
  </si>
  <si>
    <t>- Analyse visualisations to identify patterns, trends, and outliers</t>
  </si>
  <si>
    <t>- Draw conclusions and report findings</t>
  </si>
  <si>
    <t>Media – Animations</t>
  </si>
  <si>
    <t>- Add, delete, and move objects</t>
  </si>
  <si>
    <t>- Scale and rotate objects</t>
  </si>
  <si>
    <t>- Use a material to add colour to objects</t>
  </si>
  <si>
    <t>- Add, move, and delete keyframes to make basic animations</t>
  </si>
  <si>
    <t>- Play, pause, and move through the animation using the timeline</t>
  </si>
  <si>
    <t>- Create useful names for objects</t>
  </si>
  <si>
    <t>- Join multiple objects together using parenting</t>
  </si>
  <si>
    <t>- Use edit mode and extrude</t>
  </si>
  <si>
    <t>- Use loop cut and face editing</t>
  </si>
  <si>
    <t>- Apply different colours to different parts of the same model</t>
  </si>
  <si>
    <t>- Use proportional editing</t>
  </si>
  <si>
    <t>- Use the knife tool</t>
  </si>
  <si>
    <t>- Use subdivision</t>
  </si>
  <si>
    <t>- Add and edit set lighting</t>
  </si>
  <si>
    <t>- Set up the camera</t>
  </si>
  <si>
    <t>- Compare different render modes</t>
  </si>
  <si>
    <t>- Create a 3–10 second animation</t>
  </si>
  <si>
    <t>- Render out the animation</t>
  </si>
  <si>
    <t>Physical computing</t>
  </si>
  <si>
    <t>- Describe what the micro:bit is</t>
  </si>
  <si>
    <t>- List the micro:bit’s input and output devices</t>
  </si>
  <si>
    <t>- Use a development environment to write, execute, and debug a Python program for the micro:bit</t>
  </si>
  <si>
    <t>AL,CS,ET,PG</t>
  </si>
  <si>
    <t>- Write programs that use the micro:bit’s built-in input and output devices</t>
  </si>
  <si>
    <t>AL,CS,PG</t>
  </si>
  <si>
    <t>- Write programs that use GPIO pins to generate output and receive input</t>
  </si>
  <si>
    <t>- Write programs that communicate with other devices by sending and receiving messages wirelessly</t>
  </si>
  <si>
    <t>AL,CS,NW,PG</t>
  </si>
  <si>
    <t>- Design a physical computing artifact purposefully, keeping in mind the problem at hand, the needs of the audience involved, and the available resources</t>
  </si>
  <si>
    <t>CS,DD</t>
  </si>
  <si>
    <t>- Decompose the functionality of a physical computing system into simpler features</t>
  </si>
  <si>
    <t>- Implement a physical computing project, while following, revising, and refining the project plan</t>
  </si>
  <si>
    <t>AL,CS,DD,DI,ET,PG</t>
  </si>
  <si>
    <t>Python programming with sequences of data</t>
  </si>
  <si>
    <t>- Write programs that display messages, receive keyboard input, and use simple arithmetic expressions in assignment statements</t>
  </si>
  <si>
    <t>- Create lists and access individual list items</t>
  </si>
  <si>
    <t>AL,DI,PG</t>
  </si>
  <si>
    <t>- Use selection (**if-elif-else* statements) to control the flow of program execution</t>
  </si>
  <si>
    <t>- Perform common operations on lists or individual items</t>
  </si>
  <si>
    <t>- Use iteration (while statements) to control the flow of program execution</t>
  </si>
  <si>
    <t>- Perform common operations on strings or individual characters</t>
  </si>
  <si>
    <t>- Use iteration (for statements) to iterate over list items</t>
  </si>
  <si>
    <t>- Perform common operations on lists or strings</t>
  </si>
  <si>
    <t>DI,PG</t>
  </si>
  <si>
    <t>- Use iteration (for loops) to iterate over lists and strings</t>
  </si>
  <si>
    <t>- Use variables to keep track of counts and sums</t>
  </si>
  <si>
    <t>- Combine key programming language features to develop solutions to meaningful problems</t>
  </si>
  <si>
    <t>Representations – going audiovisual</t>
  </si>
  <si>
    <t>- Describe how digital images are composed of individual elements</t>
  </si>
  <si>
    <t>- Recall that the colour of each picture element is represented using a sequence of binary digits</t>
  </si>
  <si>
    <t>- Define key terms such as ‘pixels’, ‘resolution’, and ‘colour depth’</t>
  </si>
  <si>
    <t>- Describe how an image can be represented as a sequence of bits</t>
  </si>
  <si>
    <t>- Describe how colour can be represented as a mixture of red, green, and blue, with a sequence of bits representing each colour’s intensity</t>
  </si>
  <si>
    <t>- Compute the representation size of a digital image, by multiplying resolution (number of pixels) with colour depth (number of bits used to represent the colour of individual pixels)</t>
  </si>
  <si>
    <t>- Describe the trade-off between representation size and perceived quality for digital images</t>
  </si>
  <si>
    <t>- Perform basic image editing tasks using appropriate software and combine them in order to solve more complex problems requiring image manipulation</t>
  </si>
  <si>
    <t>- Explain how the manipulation of digital images amounts to arithmetic operations on their digital representation</t>
  </si>
  <si>
    <t>- Describe and assess the creative benefits and ethical drawbacks of digital manipulation [Education for a Connected World](https://www.gov.uk/government/publications/education-for-a-connected-world)</t>
  </si>
  <si>
    <t>CM,DI,IT</t>
  </si>
  <si>
    <t>- Recall that sound is a wave</t>
  </si>
  <si>
    <t>- Explain the function of microphones and speakers as components that capture and generate sound</t>
  </si>
  <si>
    <t>- Define key terms such as ‘sample’, ‘sampling frequency/rate’, ‘sample size’</t>
  </si>
  <si>
    <t>- Describe how sounds are represented as sequences of bits</t>
  </si>
  <si>
    <t>- Calculate representation size for a given digital sound, given its attributes</t>
  </si>
  <si>
    <t>- Explain how attributes such as sampling frequency and sample size affect characteristics such as representation size and perceived quality, and the trade-offs involved</t>
  </si>
  <si>
    <t xml:space="preserve">- Perform basic sound editing tasks using appropriate software and combine them in order to solve more complex problems requiring sound manipulation
</t>
  </si>
  <si>
    <t>- Recall that bitmap images and pulse code sound are not the only binary representations of images and sound available</t>
  </si>
  <si>
    <t>- Define ‘compression’, and describe why it is necessary</t>
  </si>
  <si>
    <t>Non-GCSE</t>
  </si>
  <si>
    <t>IT and the world of work</t>
  </si>
  <si>
    <t>Examine traditional and modern team working</t>
  </si>
  <si>
    <t>DD,IT</t>
  </si>
  <si>
    <t>Interpret the advantages and disadvantages of 24/7/365 availability</t>
  </si>
  <si>
    <t>Compare inclusivity and accessibility within traditional and modern teams</t>
  </si>
  <si>
    <t>Examine modern technology tools that assist inclusivity and accessibility</t>
  </si>
  <si>
    <t>Explore communication tools</t>
  </si>
  <si>
    <t>DD,ET,IT</t>
  </si>
  <si>
    <t>Evaluate collaborative working</t>
  </si>
  <si>
    <t>Recall collaboration and communication platforms</t>
  </si>
  <si>
    <t>Evaluate effective online communication</t>
  </si>
  <si>
    <t>Formulate a proposal that identifies essential skills for the modern workplace</t>
  </si>
  <si>
    <t>Assess the functions and features of cloud computing</t>
  </si>
  <si>
    <t>Justify the selection of communication platforms</t>
  </si>
  <si>
    <t>Evaluate the security of using the cloud for storage and document/data creation</t>
  </si>
  <si>
    <t>Recognise methods of creating a network when mobile or remote working</t>
  </si>
  <si>
    <t>Evaluate the advantages and disadvantages of ad hoc networks</t>
  </si>
  <si>
    <t>Judge the security of ad hoc networks</t>
  </si>
  <si>
    <t>Evaluate the impact of mental well-being on individuals</t>
  </si>
  <si>
    <t>Evaluate the impact of physical well-being on individuals</t>
  </si>
  <si>
    <t>Create a positive working environment</t>
  </si>
  <si>
    <t>IT project management</t>
  </si>
  <si>
    <t>Define the term project management</t>
  </si>
  <si>
    <t>4.1,4.2</t>
  </si>
  <si>
    <t>Identify why the use of project management is important</t>
  </si>
  <si>
    <t>Select appropriate project management methodologies</t>
  </si>
  <si>
    <t>Analyse a project brief</t>
  </si>
  <si>
    <t>Identify the user requirements of a project</t>
  </si>
  <si>
    <t>Evaluate the constraints of a project</t>
  </si>
  <si>
    <t>Identify objectives relating to a project</t>
  </si>
  <si>
    <t>Develop objectives into SMART goals</t>
  </si>
  <si>
    <t>Define ‘iteration’ and ‘interaction’</t>
  </si>
  <si>
    <t>Create a Gantt chart</t>
  </si>
  <si>
    <t>Create a PERT chart</t>
  </si>
  <si>
    <t>Evaluate planning tools</t>
  </si>
  <si>
    <t>Create an appropriate spreadsheet for a project</t>
  </si>
  <si>
    <t>Evaluate a spreadsheet</t>
  </si>
  <si>
    <t>Follow a design plan</t>
  </si>
  <si>
    <t>Create visual media</t>
  </si>
  <si>
    <t>Assess the effectiveness of planning for the visual elements of a project</t>
  </si>
  <si>
    <t>Evaluate the overall success of a completed project</t>
  </si>
  <si>
    <t>Test the effectiveness of developed products</t>
  </si>
  <si>
    <t>Develop documentation for the first stage of a project</t>
  </si>
  <si>
    <t>Create planning documents for a project</t>
  </si>
  <si>
    <t>Create project products</t>
  </si>
  <si>
    <t>Develop testing documentation</t>
  </si>
  <si>
    <t>Evaluate a completed project</t>
  </si>
  <si>
    <t>Media</t>
  </si>
  <si>
    <t>Describe the term ‘pre-production’</t>
  </si>
  <si>
    <t>Compare planning tools available for pre-production</t>
  </si>
  <si>
    <t>Create pre-production planning materials</t>
  </si>
  <si>
    <t>Describe the two main types of digital graphics: raster and vector</t>
  </si>
  <si>
    <t>Name associated file formats for types of digital graphics</t>
  </si>
  <si>
    <t>Utilise open source software to create both types of digital graphics</t>
  </si>
  <si>
    <t>Identify the resources required for creating digital graphics</t>
  </si>
  <si>
    <t>Recognise the legislation regarding use of digital graphics</t>
  </si>
  <si>
    <t>Name the different camera angles used in video production</t>
  </si>
  <si>
    <t>Recognise different file formats and properties of digital video</t>
  </si>
  <si>
    <t>Utilise the software required for digital video creation</t>
  </si>
  <si>
    <t>Discuss the features and properties of websites</t>
  </si>
  <si>
    <t>Plan a multi-page website</t>
  </si>
  <si>
    <t>Create a multi-page website using open source tools</t>
  </si>
  <si>
    <t>Plan a digital media artefact from a selected client brief</t>
  </si>
  <si>
    <t>Create media artefacts</t>
  </si>
  <si>
    <t>Evaluate design decisions for media artefacts</t>
  </si>
  <si>
    <t>Describe the role of conventions in programming</t>
  </si>
  <si>
    <t>Recall that there are different paradigms for programming</t>
  </si>
  <si>
    <t>Define object-oriented programming</t>
  </si>
  <si>
    <t>Identify a class and object as a part of a program</t>
  </si>
  <si>
    <t>Describe the relationship between a class and an object</t>
  </si>
  <si>
    <t>Define attributes and methods as a part of a class</t>
  </si>
  <si>
    <t>Use a constructor to create objects</t>
  </si>
  <si>
    <t>Use a method and access an attribute on an object</t>
  </si>
  <si>
    <t>Model a real world problem using object oriented programming conventions</t>
  </si>
  <si>
    <t>Create a class</t>
  </si>
  <si>
    <t>Define the use of a self parameter in object-oriented Python</t>
  </si>
  <si>
    <t>Create a method on a class</t>
  </si>
  <si>
    <t>Access and modify attributes using getters and setters</t>
  </si>
  <si>
    <t>Define the principle of inheritance</t>
  </si>
  <si>
    <t>Define the terms superclass and subclass</t>
  </si>
  <si>
    <t>Select appropriate uses of inheritance</t>
  </si>
  <si>
    <t>Create a subclass in a program</t>
  </si>
  <si>
    <t>Explore a program written using OOP</t>
  </si>
  <si>
    <t>Explain the key concepts of OOP</t>
  </si>
  <si>
    <t>Online safety</t>
  </si>
  <si>
    <t>Discuss the main safety concerns of being online</t>
  </si>
  <si>
    <t>Reflect on online activity from a safety perspective</t>
  </si>
  <si>
    <t>Define online reputation and discuss what it is made up of</t>
  </si>
  <si>
    <t>Discuss techniques on how to build a positive online reputation</t>
  </si>
  <si>
    <t>Discuss the ways in which one’s online reputation might be under threat and how to defend it</t>
  </si>
  <si>
    <t>Define the terms ‘big data’ and ‘data analytics’</t>
  </si>
  <si>
    <t>Discuss the ethics of big data use</t>
  </si>
  <si>
    <t>Investigate the stakeholders who use big data and why</t>
  </si>
  <si>
    <t>Explain how data is collected on and how it is used</t>
  </si>
  <si>
    <t>Investigate the legal rights to privacy within the UK</t>
  </si>
  <si>
    <t>Discuss which rights are believed to be upheld</t>
  </si>
  <si>
    <t>Debate whether the right to privacy is important, why this might be the case, and if the right to privacy is in tension with any other rights</t>
  </si>
  <si>
    <t>Evaluate what data created online is valuable, and to whom</t>
  </si>
  <si>
    <t>Discuss ways in which data might be stolen</t>
  </si>
  <si>
    <t>Define terms ‘phishing’ and ‘malware’</t>
  </si>
  <si>
    <t>Identify ways to protect one’s data online</t>
  </si>
  <si>
    <t>Discuss examples of disinformation spread online</t>
  </si>
  <si>
    <t>Define the term ‘fake news’ and discuss the quantity of fake news available online</t>
  </si>
  <si>
    <t>Identify why fake news exists and who creates it</t>
  </si>
  <si>
    <t>Discuss ways of identifying fake news and other forms of disinformation</t>
  </si>
  <si>
    <t>Explain why some content online can be potentially harmful</t>
  </si>
  <si>
    <t>Describe the UK laws governing online content</t>
  </si>
  <si>
    <t>Discuss why policing online spaces can be difficult</t>
  </si>
  <si>
    <t>Demonstrate how to report illegal online content</t>
  </si>
  <si>
    <t>Discuss how we decide what content should be illegal</t>
  </si>
  <si>
    <t>Debate the right to access information in the context of safety concerns online already discussed in this unit</t>
  </si>
  <si>
    <t>Compare UK laws with those in other countries</t>
  </si>
  <si>
    <t>Discover different technologies used to access and share information online</t>
  </si>
  <si>
    <t>Reflect on how big data and other tools help to target information to specific users</t>
  </si>
  <si>
    <t>Discuss the impact this might have on different people’s online experiences and the potential disadvantages of living in an online bubble</t>
  </si>
  <si>
    <t>Contemplate the potential harms of being online</t>
  </si>
  <si>
    <t>Determine practical actions that can be made to protect oneself online</t>
  </si>
  <si>
    <t>Summarise key aspects of online safety</t>
  </si>
  <si>
    <t>CS,DI,IT,NW,SS</t>
  </si>
  <si>
    <t>Spreadsheets</t>
  </si>
  <si>
    <t>Create a spreadsheet model for a given scenario</t>
  </si>
  <si>
    <t>Demonstrate how to use formulae to perform calculations</t>
  </si>
  <si>
    <t>Apply cell formatting</t>
  </si>
  <si>
    <t>Implement formatting to make the spreadsheet readable and to highlight different specific information</t>
  </si>
  <si>
    <t>Use data validation when entering data in order to reduce user error</t>
  </si>
  <si>
    <t>Implement conditional formatting techniques</t>
  </si>
  <si>
    <t>Format cells correctly, e.g. cells representing money should be currency, etc.</t>
  </si>
  <si>
    <t>Select the most suitable chart to visualise the selected data</t>
  </si>
  <si>
    <t>Recognise the importance of clear titles and labels</t>
  </si>
  <si>
    <t>Implement and test a macro to carry out a repetitive task</t>
  </si>
  <si>
    <t>Implement a LOOKUP function to retrieve data</t>
  </si>
  <si>
    <t>Implement an IF function to give the user feedback</t>
  </si>
  <si>
    <t>Demonstrate that skills developed in the lessons can be applied to a different scenario</t>
  </si>
  <si>
    <t>Solve problems using transferable skills</t>
  </si>
  <si>
    <t>Think widely about the uses for and purposes of spreadsheets</t>
  </si>
  <si>
    <t>GCSE</t>
  </si>
  <si>
    <t>Algorithms part 1</t>
  </si>
  <si>
    <t>Define the terms decomposition, abstraction and algorithmic thinking</t>
  </si>
  <si>
    <t>Recognise scenarios where each of these computational thinking techniques are applied</t>
  </si>
  <si>
    <t>Apply decomposition, abstraction and algorithmic thinking to help solve a problem</t>
  </si>
  <si>
    <t>Describe the difference between algorithms and computer programs</t>
  </si>
  <si>
    <t>Identify algorithms that are defined as written descriptions, flowcharts and code</t>
  </si>
  <si>
    <t>Analyse and create flowcharts using the flowchart symbols</t>
  </si>
  <si>
    <t>Use a trace table to walk through code that contains a while loop, a for loop and a list of items</t>
  </si>
  <si>
    <t>Use a trace table to detect and correct errors in a program</t>
  </si>
  <si>
    <t>Algorithms part 2</t>
  </si>
  <si>
    <t>Identify why computers often need to search data</t>
  </si>
  <si>
    <t>Describe how linear search is used for finding the position of an item in a list of items</t>
  </si>
  <si>
    <t>Perform a linear search to find the position of an item in a list</t>
  </si>
  <si>
    <t>Describe how binary search is used for finding the position of an item in a list of items</t>
  </si>
  <si>
    <t>Perform a binary search to find the position of an item in a list</t>
  </si>
  <si>
    <t>Identify scenarios when a binary search can and cannot be carried out</t>
  </si>
  <si>
    <t>Compare the features of linear and binary search and decide which is most suitable in a given context</t>
  </si>
  <si>
    <t>Interpret the code for linear search and binary search</t>
  </si>
  <si>
    <t>Trace code for both searching algorithms with input data</t>
  </si>
  <si>
    <t>Identify why computers often need to sort data</t>
  </si>
  <si>
    <t>Traverse a list of items, swapping the items that are out of order</t>
  </si>
  <si>
    <t>Perform a bubble sort to order a list containing sample data</t>
  </si>
  <si>
    <t>Insert an item into an ordered list of items</t>
  </si>
  <si>
    <t>Describe how insertion sort is used for ordering a list of items</t>
  </si>
  <si>
    <t>Perform an insertion sort to order a list containing sample data</t>
  </si>
  <si>
    <t>Interpret the code for bubble sort and insertion sort</t>
  </si>
  <si>
    <t>Trace code for both sorting algorithms with input data</t>
  </si>
  <si>
    <t>Identify factors that could influence the efficiency of a bubble sort implementation</t>
  </si>
  <si>
    <t>Merge two ordered lists of items into a new ordered list</t>
  </si>
  <si>
    <t>Describe how merge sort is used for ordering a list of items</t>
  </si>
  <si>
    <t>Perform a merge sort to order a list containing sample data</t>
  </si>
  <si>
    <t>Interpret algorithms and suggest improvements</t>
  </si>
  <si>
    <t>Analyse and fix errors in a flowchart</t>
  </si>
  <si>
    <t>Perform searching and sorting algorithms on samples of data</t>
  </si>
  <si>
    <t>Develop a linear search function in Python</t>
  </si>
  <si>
    <t>Complete the end of unit assessment</t>
  </si>
  <si>
    <t>Understand the difference between embedded and general purpose computer systems</t>
  </si>
  <si>
    <t>4.1,4.2,4.3</t>
  </si>
  <si>
    <t>Describe the role of system software as part of a computer system</t>
  </si>
  <si>
    <t>Explore the role of the operating system and utility software</t>
  </si>
  <si>
    <t>Describe the basic components of the CPU</t>
  </si>
  <si>
    <t>Understand the roles and purpose of each component of the CPU in computation</t>
  </si>
  <si>
    <t>Explain how the fetch-decode-execute cycle works by describing what happens at each stage</t>
  </si>
  <si>
    <t>Describe the role of each part of the CPU as part of the fetch-decode-execute cycle</t>
  </si>
  <si>
    <t>Describe the characteristics of RAM and ROM</t>
  </si>
  <si>
    <t>Explain the role of main memory as part of a computer system</t>
  </si>
  <si>
    <t>Define cache memory</t>
  </si>
  <si>
    <t>Describe the role of cache in a computer system</t>
  </si>
  <si>
    <t>Explain why a computer system needs secondary storage</t>
  </si>
  <si>
    <t>State the different types of secondary storage and describe their functional characteristics</t>
  </si>
  <si>
    <t>State how solid-state memory works and describe its characteristics</t>
  </si>
  <si>
    <t>Explain how optical and magnetic memory stores data in the form of binary</t>
  </si>
  <si>
    <t>Describe how data is read from and written to optical and magnetic memory</t>
  </si>
  <si>
    <t>Apply knowledge of storage devices to compare the three mediums of storage</t>
  </si>
  <si>
    <t>Apply the knowledge of storage devices to recommend an appropriate device</t>
  </si>
  <si>
    <t>Describe the limitations of secondary storage</t>
  </si>
  <si>
    <t>Explain the definition of ‘cloud storage’ and describe the characteristics of cloud storage</t>
  </si>
  <si>
    <t>Explore the factors that impact a CPU’s performance</t>
  </si>
  <si>
    <t>Select components to create a computer system</t>
  </si>
  <si>
    <t>Evaluate a computer’s suitability for a given task</t>
  </si>
  <si>
    <t>Revise computer systems content covered so far</t>
  </si>
  <si>
    <t>Design and implement a software project</t>
  </si>
  <si>
    <t>Discover the logic gates AND, NOT, and OR, including their symbols and truth tables</t>
  </si>
  <si>
    <t>AL,CS</t>
  </si>
  <si>
    <t>Learn how logic gates are used in carrying out computation</t>
  </si>
  <si>
    <t>Design a logical circuit, combining logic gates to solve a problem</t>
  </si>
  <si>
    <t>Construct truth tables for a three-input logic circuit</t>
  </si>
  <si>
    <t>Write a Boolean expression to describe a logical circuit</t>
  </si>
  <si>
    <t>Describe how combinations of logic gates can perform mathematical operations</t>
  </si>
  <si>
    <t>Explain the basic commands in the LMC’s assembly code: INP, OUT, STA, LDA, ADD, SUB, and BRP</t>
  </si>
  <si>
    <t>Determine that assembly language has a 1:1 relationship with machine code</t>
  </si>
  <si>
    <t>Design and write your own program in assembly language</t>
  </si>
  <si>
    <t>Define the terms cybersecurity and network security, explain their importance, and distinguish between the two</t>
  </si>
  <si>
    <t>4.1,4.3</t>
  </si>
  <si>
    <t>Describe the features of a network that make it vulnerable to attack</t>
  </si>
  <si>
    <t>Describe the impact of cybercrime on businesses and individuals</t>
  </si>
  <si>
    <t>Analyse an attack on a company and identify what motivated the hackers</t>
  </si>
  <si>
    <t>Demonstrate knowledge of social engineering in role play and case studies</t>
  </si>
  <si>
    <t>Identify and describe non-automated forms of cyberattack and how humans can be the weak points in an organisation</t>
  </si>
  <si>
    <t>Analyse a real cyberattack and identify the network or software weaknesses that enabled it to happen</t>
  </si>
  <si>
    <t>Describe automated forms of cyberattack</t>
  </si>
  <si>
    <t>Describe ways in which organisations use software to protect against cyberattacks</t>
  </si>
  <si>
    <t>Identify how software can be used to protect from cyberattacks</t>
  </si>
  <si>
    <t>CS,DD,NW,SS</t>
  </si>
  <si>
    <t>Describe different ways to protect software systems and networks (2 of 2)</t>
  </si>
  <si>
    <t>Understand the need for, and importance of, network security</t>
  </si>
  <si>
    <t>Explain a number of methods of achieving network security</t>
  </si>
  <si>
    <t>Describe different methods of identifying cybersecurity vulnerabilities, such as: penetration testing, ethical hacking, network forensics, commercial analysis tools, review of network and user policies</t>
  </si>
  <si>
    <t>Evaluate the potential for cybersecurity careers</t>
  </si>
  <si>
    <t>Apply knowledge of cybersecurity to GCSE-style questions</t>
  </si>
  <si>
    <t>CS,DD,IT,NW,SS</t>
  </si>
  <si>
    <t>Describe a database</t>
  </si>
  <si>
    <t>Define database key terms (table, record, field, primary key, foreign key)</t>
  </si>
  <si>
    <t>Describe a flat file database</t>
  </si>
  <si>
    <t>Describe a relational database</t>
  </si>
  <si>
    <t>Describe the function of SQL</t>
  </si>
  <si>
    <t>Use SQL to retrieve data from a table in a relational database</t>
  </si>
  <si>
    <t>Use SQL to retrieve data from more than one table in a relational database</t>
  </si>
  <si>
    <t>Describe the function of different data types.</t>
  </si>
  <si>
    <t>Use SQL to insert, update and delete data into a relational database</t>
  </si>
  <si>
    <t>Interrogate and update an existing database</t>
  </si>
  <si>
    <t>Data representations</t>
  </si>
  <si>
    <t>Give examples of the use of representation</t>
  </si>
  <si>
    <t>Explain how binary relates to two-state electrical signals</t>
  </si>
  <si>
    <t>Work out what range of numbers can be stored in a specific number of bits</t>
  </si>
  <si>
    <t>Explain the concept of a number base</t>
  </si>
  <si>
    <t>Convert a positive binary integer to decimal</t>
  </si>
  <si>
    <t>Convert a decimal number to binary</t>
  </si>
  <si>
    <t>Define the term ‘bit’</t>
  </si>
  <si>
    <t>Perform binary shifts (logical)</t>
  </si>
  <si>
    <t>Perform binary addition</t>
  </si>
  <si>
    <t>Explain why overflow might occur</t>
  </si>
  <si>
    <t>Define the term ‘byte’</t>
  </si>
  <si>
    <t>Explain how numbers are represented using hexadecimal</t>
  </si>
  <si>
    <t>Convert decimal numbers to and from hexadecimal</t>
  </si>
  <si>
    <t>Explain why and where hexadecimal notation is used</t>
  </si>
  <si>
    <t>Be able to convert binary numbers to and from hexadecimal</t>
  </si>
  <si>
    <t>Define the term ‘nibble’</t>
  </si>
  <si>
    <t>Explain how ASCII is used to represent characters, and its limitations</t>
  </si>
  <si>
    <t>Explain what a character set is</t>
  </si>
  <si>
    <t>Explain the need for Unicode</t>
  </si>
  <si>
    <t>Be able to calculate the number of bits needed to store a piece of text</t>
  </si>
  <si>
    <t>Describe what a pixel is and how pixels relate to images</t>
  </si>
  <si>
    <t>Explain how bitmaps are used to represent images</t>
  </si>
  <si>
    <t>Convert between binary data and black and white bitmaps</t>
  </si>
  <si>
    <t>Explain the relationship between resolution, colour depth, and file size for images</t>
  </si>
  <si>
    <t>Describe colour depth and resolution, and how they impact on image quality</t>
  </si>
  <si>
    <t>Define the terms ‘bit’, ‘nibble’, ‘byte’, ‘megabyte’, ‘gigabyte’, ‘terabyte’, and ‘petabyte’</t>
  </si>
  <si>
    <t>Be able to convert between units of measurement</t>
  </si>
  <si>
    <t>Explain the difference between raster and vector graphics</t>
  </si>
  <si>
    <t>Describe the use of metadata in image files</t>
  </si>
  <si>
    <t>Explain why analogue sound data needs to be converted to discrete values</t>
  </si>
  <si>
    <t>Describe the concepts of sampling, sample rate, and sample resolution</t>
  </si>
  <si>
    <t>Describe the use of metadata in sound files</t>
  </si>
  <si>
    <t>Calculate file size requirements for sound files</t>
  </si>
  <si>
    <t>Create a simple web page using basic tags</t>
  </si>
  <si>
    <t>CM,NW,PG</t>
  </si>
  <si>
    <t>Describe the purpose of HTML and tags when designing a website</t>
  </si>
  <si>
    <t>Describe what is meant by the term ‘accessibility’</t>
  </si>
  <si>
    <t>DD,IT,NW</t>
  </si>
  <si>
    <t>Extend a HTML page to include images &lt;img&gt; and hyperlinks &lt;a href&gt;</t>
  </si>
  <si>
    <t>Identify the common features of existing websites and the basics of what makes good web design</t>
  </si>
  <si>
    <t>DD,NW,PG</t>
  </si>
  <si>
    <t>Design and create pages for a mini website</t>
  </si>
  <si>
    <t>CM,DD,NW,PG</t>
  </si>
  <si>
    <t>Create hyperlinks between pages stored locally within a folder</t>
  </si>
  <si>
    <t>Insert images stored locally within a folder</t>
  </si>
  <si>
    <t>Experiment with CSS by changing the style of the tags learnt so far in this unit</t>
  </si>
  <si>
    <t>Describe the purpose of CSS and why it is needed in addition to HTML</t>
  </si>
  <si>
    <t>Apply knowledge of CSS to DIVs within web pages using classes</t>
  </si>
  <si>
    <t>Describe the purpose of DIV tags</t>
  </si>
  <si>
    <t>Apply skills to position items within a page</t>
  </si>
  <si>
    <t>Explain how to plan a website by developing house style and sketched wireframe</t>
  </si>
  <si>
    <t>Describe the box model in CSS</t>
  </si>
  <si>
    <t>Self/peer evaluate the webpage produced using a rubric</t>
  </si>
  <si>
    <t>Construct a three-page website to showcase the skills learned throughout this unit of study</t>
  </si>
  <si>
    <t>Extend/finish the assessed website</t>
  </si>
  <si>
    <t>Showcase the assessed website</t>
  </si>
  <si>
    <t>Demonstrate how much has been learnt by taking an end of unit test</t>
  </si>
  <si>
    <t>Apply the terms ‘privacy’, ‘legal’, ‘ethical’, ‘environmental’, and ‘cultural’</t>
  </si>
  <si>
    <t>Explain data legislation, including an organisation’s obligation to protect and supply data</t>
  </si>
  <si>
    <t>Explain the term ‘stakeholder’</t>
  </si>
  <si>
    <t>Explain the right to be forgotten</t>
  </si>
  <si>
    <t>Distinguish the differences between legitimate creative uses and clear infringement of material subject to copyright</t>
  </si>
  <si>
    <t>Explain the Freedom of Information Act</t>
  </si>
  <si>
    <t>Define ‘computer misuse’ and the associated offences</t>
  </si>
  <si>
    <t>Identify situations that would be classified as an offence under the Act</t>
  </si>
  <si>
    <t>Define ‘downtime’ and explain the associated impact on an organisation</t>
  </si>
  <si>
    <t>Explain what is meant by the ‘digital divide’ and measures to mitigate its effect</t>
  </si>
  <si>
    <t>Identify positive and negative aspects of the use of mobile technology</t>
  </si>
  <si>
    <t>Identify the implications of having personal data online</t>
  </si>
  <si>
    <t>Explain the social and environmental impacts of social media</t>
  </si>
  <si>
    <t>Explain the positive and negative effects of online content</t>
  </si>
  <si>
    <t>Explain the environmental effects of the use of technology</t>
  </si>
  <si>
    <t>Explain the ethical issues surrounding the use of AI in society</t>
  </si>
  <si>
    <t>AL,IT,PG</t>
  </si>
  <si>
    <t>Explain the ethical impact of using algorithms to make decisions</t>
  </si>
  <si>
    <t>Demonstrate knowledge of the five impacts of technology</t>
  </si>
  <si>
    <t>Define what networks are</t>
  </si>
  <si>
    <t>Describe the hardware components required to build networks of devices</t>
  </si>
  <si>
    <t>Analyse the benefits and problems associated with networks</t>
  </si>
  <si>
    <t>Explain how devices can be connected to a network either through a wired or wireless connection</t>
  </si>
  <si>
    <t>Define MAC addresses and their use in networks</t>
  </si>
  <si>
    <t>Analyse specific examples including Ethernet and Wi-Fi</t>
  </si>
  <si>
    <t>Explain the importance of connectivity in modern computing systems</t>
  </si>
  <si>
    <t>List and describe the different types of networks depending on node distribution, including personal, local, and wide area networks</t>
  </si>
  <si>
    <t>List, describe, and compare the different types of networks depending on topology, such as ring, star, and bus</t>
  </si>
  <si>
    <t>List, describe, and compare the different types of communication models encountered in networks, such as server–client and peer-to-peer</t>
  </si>
  <si>
    <t>Define and describe the internet</t>
  </si>
  <si>
    <t>Define the WWW and describe its main components</t>
  </si>
  <si>
    <t>Define and explain the concept of a networking protocol</t>
  </si>
  <si>
    <t>List and explain standard internet protocols in the application layer, such as HTTP, HTTPS, FTP, DNS, SMTP, POP, and IMAP</t>
  </si>
  <si>
    <t>Explain and describe the advantages and disadvantages of circuit switching and packet switching</t>
  </si>
  <si>
    <t>List and explain the four different layers associated with the Internet Protocol: link, network/internet, transport, and application</t>
  </si>
  <si>
    <t>Explain the Internet Protocol in the internet layer</t>
  </si>
  <si>
    <t>List and explain standard internet protocols in the transport layer, such as TCP and UDP</t>
  </si>
  <si>
    <t>Describe how network data speeds are measured, and the factors affecting network performance</t>
  </si>
  <si>
    <t>Define what virtual networks are, and how they are used to maintain network performance</t>
  </si>
  <si>
    <t>Explain why networks are a target for criminals, and what some of the tools available to defend against attacks are</t>
  </si>
  <si>
    <t>Physical computing project</t>
  </si>
  <si>
    <t>Define the term physical computing</t>
  </si>
  <si>
    <t>Explain the term embedded systems</t>
  </si>
  <si>
    <t>Create and test a working circuit</t>
  </si>
  <si>
    <t>Explore how to add functionality using a motor controller</t>
  </si>
  <si>
    <t>DD,CS,PG</t>
  </si>
  <si>
    <t>Interact with real-world objects using code and additional hardware</t>
  </si>
  <si>
    <t>Use basic materials and tools to create a prototype</t>
  </si>
  <si>
    <t>Understand how ultrasonic sound waves work</t>
  </si>
  <si>
    <t>DI,CS,PG</t>
  </si>
  <si>
    <t>Combine inputs and outputs to solve a problem</t>
  </si>
  <si>
    <t>DD,PG,AL,CS</t>
  </si>
  <si>
    <t>Understand how reflective optical sensors work</t>
  </si>
  <si>
    <t>DI,CS</t>
  </si>
  <si>
    <t>Process input data to monitor and react to the environment</t>
  </si>
  <si>
    <t>DI,PG,CS</t>
  </si>
  <si>
    <t>Synchronise the behaviour of physical hardware components for a given situation</t>
  </si>
  <si>
    <t>DI,DD,CS,AL,PG</t>
  </si>
  <si>
    <t>Programming part 1 - Sequence</t>
  </si>
  <si>
    <t>Compare how humans and computers interpret instructions</t>
  </si>
  <si>
    <t>Explain the differences between high- and low-level programming languages</t>
  </si>
  <si>
    <t>Describe why translators are necessary</t>
  </si>
  <si>
    <t>List the differences, benefits and drawbacks of using a compiler or an interpreter</t>
  </si>
  <si>
    <t>Use subroutines in programs</t>
  </si>
  <si>
    <t>Define a sequence as instructions performed in order, with each executed in turn</t>
  </si>
  <si>
    <t>Predict the outcome of a sequence and modify it</t>
  </si>
  <si>
    <t>Interpret error messages and define error types and identify them in programs (logic, syntax)</t>
  </si>
  <si>
    <t>Describe the tools an IDE provides (editors, error diagnostics, run-time environment, translators)</t>
  </si>
  <si>
    <t>Use meaningful identifiers</t>
  </si>
  <si>
    <t>Determine the need for variables</t>
  </si>
  <si>
    <t>Distinguish between declaration, initialisation and assignment of variables</t>
  </si>
  <si>
    <t>Demonstrate appropriate use of naming conventions</t>
  </si>
  <si>
    <t>Output data (e.g. print (my_var))</t>
  </si>
  <si>
    <t>Obtain input from the keyboard in a program</t>
  </si>
  <si>
    <t>Differentiate between the data types; integer, real, Boolean, character, string</t>
  </si>
  <si>
    <t>Cast variables by calling a function that will return a new value of the desired data type</t>
  </si>
  <si>
    <t>Define runtime errors in programs</t>
  </si>
  <si>
    <t>Define validation checks</t>
  </si>
  <si>
    <t>Identify flowchart symbols and describe how to use them (start, end, input, output, subroutine)</t>
  </si>
  <si>
    <t>Translate a flowchart into a program sequence</t>
  </si>
  <si>
    <t>Design a flowchart for a program</t>
  </si>
  <si>
    <t>Programming part 2 - Selection</t>
  </si>
  <si>
    <t>Be able to locate information using the language documentation</t>
  </si>
  <si>
    <t>Import modules into your code</t>
  </si>
  <si>
    <t>Demonstrate how to generate random numbers</t>
  </si>
  <si>
    <t>Evaluate arithmetic expressions using rules of operator precedence (BIDMAS)</t>
  </si>
  <si>
    <t>Write and use expressions that use arithmetic operators (add, subtract, multiply, real division, integer division, MOD, to the power)</t>
  </si>
  <si>
    <t>Assign expressions to variables</t>
  </si>
  <si>
    <t xml:space="preserve">Define a condition as an expression that can be evaluated to either True or </t>
  </si>
  <si>
    <t>Identify flowchart symbols and describe how to use them (decision)</t>
  </si>
  <si>
    <t>Identify that selection uses conditions to control the flow of execution</t>
  </si>
  <si>
    <t>Walkthrough code that includes selection (if, elif, else)</t>
  </si>
  <si>
    <t>Use selection statements in a program</t>
  </si>
  <si>
    <t>Identify when selection statements should be used in programs</t>
  </si>
  <si>
    <t>Write and use expressions that use comparison operators (equal to, not equal to, less than, greater than, less than or equal to, greater than or equal to)</t>
  </si>
  <si>
    <t>Describe how Boolean/logical operators can be used in expressions</t>
  </si>
  <si>
    <t>Walkthrough code that use conditions with Boolean/logical operators (AND, OR)</t>
  </si>
  <si>
    <t>Write and use expressions that use Boolean/logical operators (AND, OR)</t>
  </si>
  <si>
    <t>Define nested selection</t>
  </si>
  <si>
    <t>Walk through code that uses nested selection</t>
  </si>
  <si>
    <t>Modify a program that uses nested selection</t>
  </si>
  <si>
    <t>Programming part 3 - Iteration</t>
  </si>
  <si>
    <t>Define iteration as a group of instructions that are repeatedly executed</t>
  </si>
  <si>
    <t>Modify a program to incorporate a while loop</t>
  </si>
  <si>
    <t>Use a trace table to walkthrough code that uses a while loop</t>
  </si>
  <si>
    <t>Use a trace table to detect and correct errors in programs</t>
  </si>
  <si>
    <t>Define a for loop</t>
  </si>
  <si>
    <t>Walk through code that uses a for loop</t>
  </si>
  <si>
    <t>Modify a program that uses a for loop</t>
  </si>
  <si>
    <t>Compare a while loop and a for loop</t>
  </si>
  <si>
    <t>Determine the need for validation checks</t>
  </si>
  <si>
    <t>Use iteration to perform validation checks</t>
  </si>
  <si>
    <t>Describe the purpose of pseudocode</t>
  </si>
  <si>
    <t>Translate pseudocode into a program</t>
  </si>
  <si>
    <t>Design and build a program using pseudocode</t>
  </si>
  <si>
    <t>Programming part 4 - Subroutines</t>
  </si>
  <si>
    <t>Describe a subroutine</t>
  </si>
  <si>
    <t>Describe the purpose of parameters in subroutines</t>
  </si>
  <si>
    <t>Use procedures that accept arguments through parameters</t>
  </si>
  <si>
    <t>Describe how subroutines are used for decomposition</t>
  </si>
  <si>
    <t>List the advantages of subroutines</t>
  </si>
  <si>
    <t>Explain the difference between a function and a procedure</t>
  </si>
  <si>
    <t>Use trace tables to investigate functions</t>
  </si>
  <si>
    <t>Use functions to return values in programs</t>
  </si>
  <si>
    <t>Describe scope of variables</t>
  </si>
  <si>
    <t>Describe how parameters can reduce the need for global variables</t>
  </si>
  <si>
    <t>Identify when to use global variables</t>
  </si>
  <si>
    <t>Describe a constant</t>
  </si>
  <si>
    <t>Use a truth table</t>
  </si>
  <si>
    <t>Describe the function of an XOR operator</t>
  </si>
  <si>
    <t>Design and create a function for an XOR operator</t>
  </si>
  <si>
    <t>Describe the structured approach to programming</t>
  </si>
  <si>
    <t>Explain the advantages of the structured approach</t>
  </si>
  <si>
    <t>Use the structured approach in programming</t>
  </si>
  <si>
    <t>Describe iterative testing</t>
  </si>
  <si>
    <t>Describe the types of testing (erroneous, boundary, normal)</t>
  </si>
  <si>
    <t>Design and create a program</t>
  </si>
  <si>
    <t>Programming part 5 - Strings and lists</t>
  </si>
  <si>
    <t>Define the term GUI</t>
  </si>
  <si>
    <t>Import third-party libraries</t>
  </si>
  <si>
    <t>Use guizero to create an event-driven program that uses a GUI</t>
  </si>
  <si>
    <t>Describe the function of string operators</t>
  </si>
  <si>
    <t>Use string handling techniques</t>
  </si>
  <si>
    <t>Use for loops with string operations</t>
  </si>
  <si>
    <t>Use a substring in a program</t>
  </si>
  <si>
    <t>Use the in operator to check for a substring</t>
  </si>
  <si>
    <t>Use chr() and ord() to perform ASCII conversions</t>
  </si>
  <si>
    <t>Create a program that uses string handling techniques</t>
  </si>
  <si>
    <t>Define a data structure</t>
  </si>
  <si>
    <t>Define a list and an array</t>
  </si>
  <si>
    <t>Describe the differences between lists and arrays</t>
  </si>
  <si>
    <t>Use a list in a program</t>
  </si>
  <si>
    <t>Append to a list</t>
  </si>
  <si>
    <t>Traverse a list of elements</t>
  </si>
  <si>
    <t>Use list methods</t>
  </si>
  <si>
    <t>Create a function that returns a list</t>
  </si>
  <si>
    <t>Import custom built functions</t>
  </si>
  <si>
    <t>Use lists to display output on a physical computing device</t>
  </si>
  <si>
    <t>Use randomisation to append items to a list</t>
  </si>
  <si>
    <t>Define a 2D array and a list</t>
  </si>
  <si>
    <t>Use a 2D list in a program</t>
  </si>
  <si>
    <t>Use a 2D list as part of a programming challenge</t>
  </si>
  <si>
    <t>Programming part 6 - Dictionaries and datafiles</t>
  </si>
  <si>
    <t>Describe the record data structure</t>
  </si>
  <si>
    <t>Use a dictionary to represent a record in a program</t>
  </si>
  <si>
    <t>Use a dictionary with a list to represent records in a database</t>
  </si>
  <si>
    <t>Describe the dictionary data structure</t>
  </si>
  <si>
    <t>Use a dictionary to produce key-value pairs</t>
  </si>
  <si>
    <t>Determine the purpose of external data files</t>
  </si>
  <si>
    <t>Read data from an external text file</t>
  </si>
  <si>
    <t>Write to text files</t>
  </si>
  <si>
    <t>Append to text files</t>
  </si>
  <si>
    <t>Describe a CSV file</t>
  </si>
  <si>
    <t>Read from a CSV file</t>
  </si>
  <si>
    <t>Use the split() method</t>
  </si>
  <si>
    <t>Select data from a collection of values</t>
  </si>
  <si>
    <t>Write data from a 1D list to a CSV file</t>
  </si>
  <si>
    <t>Write data from a 2D list to a CSV file</t>
  </si>
  <si>
    <t>Determine the good habits of a programmer</t>
  </si>
  <si>
    <t>Explore alternative approaches to programming solutions</t>
  </si>
  <si>
    <t>Append to a CSV file</t>
  </si>
  <si>
    <t>Write success criteria for a challenging project</t>
  </si>
  <si>
    <t>Design the program for a challenging project using flowchart or pseudocode</t>
  </si>
  <si>
    <t>Create the solution for the battle boats program</t>
  </si>
  <si>
    <t>Perform final testing of the solution to a challenging problem</t>
  </si>
  <si>
    <t>Evaluate a challenging program</t>
  </si>
  <si>
    <t>Algorithms part 1 - The essentials</t>
  </si>
  <si>
    <t>Algorithms part 2 - Searching and sorting</t>
  </si>
  <si>
    <t>Computer networks</t>
  </si>
  <si>
    <t>Programming part 6 - Dictionaries and data files</t>
  </si>
  <si>
    <t>Define a condition as an expression that can be evaluated to either True or False</t>
  </si>
  <si>
    <t>Walk through code that includes selection (if, elif, else)</t>
  </si>
  <si>
    <t>Explain that computers use binary to represent all data and instructions</t>
  </si>
  <si>
    <t>Convert between binary and decimal numbers</t>
  </si>
  <si>
    <t>Explain the difference between base-2 and base-10 numbers</t>
  </si>
  <si>
    <t>Count in binary</t>
  </si>
  <si>
    <t>Perform addition in binary on three binary numbers</t>
  </si>
  <si>
    <t>Perform addition in binary on two binary numbers</t>
  </si>
  <si>
    <t>Perform subtraction in binary</t>
  </si>
  <si>
    <t>Describe situations where binary shifts can be used</t>
  </si>
  <si>
    <t>Explain how overflow errors can occur</t>
  </si>
  <si>
    <t>Explain how underflow occurs</t>
  </si>
  <si>
    <t>Perform binary shifts</t>
  </si>
  <si>
    <t>Compare signed and unsigned integers</t>
  </si>
  <si>
    <t>Use sign and magnitude to represent positive and negative integers</t>
  </si>
  <si>
    <t>Use two’s complement to represent positive and negative integers</t>
  </si>
  <si>
    <t xml:space="preserve">Convert decimal numbers to and from hexadecimal numbers
</t>
  </si>
  <si>
    <t xml:space="preserve">Explain how numbers are represented using hexadecimal
</t>
  </si>
  <si>
    <t>Describe how character codes are commonly grouped and run in sequence within encoding tables</t>
  </si>
  <si>
    <t>Determine the maximum number of states that can be represented by a binary pattern of a given length</t>
  </si>
  <si>
    <t>Calculate the number of bytes needed to store a piece of text</t>
  </si>
  <si>
    <t>State that Unicode uses the same codes as ASCII up to 127</t>
  </si>
  <si>
    <t>Define ‘metadata’</t>
  </si>
  <si>
    <t>Describe colour depth and resolution</t>
  </si>
  <si>
    <t>Describe what a pixel is and how pixels relate to bitmap images</t>
  </si>
  <si>
    <t>Give examples of metadata applied to a bitmap image</t>
  </si>
  <si>
    <t>Calculate the file size of bitmaps</t>
  </si>
  <si>
    <t xml:space="preserve">Describe how the number of pixels and colour depth can affect the file size of a bitmap image, using examples
</t>
  </si>
  <si>
    <t>Explain why analogue sound data needs to be converted into binary digits</t>
  </si>
  <si>
    <t>Calculate file size requirements of sound files</t>
  </si>
  <si>
    <t>Describe the effect of sample rate, duration, and sample resolution on the playback quality and the size of a sound file</t>
  </si>
  <si>
    <t>Give examples of metadata applied to sound files</t>
  </si>
  <si>
    <t>Compare ‘kibibyte’, ‘mebibyte’, ‘gibibyte’, and ‘tebibyte’ to ‘megabyte’, ‘gigabyte’, and ‘terabyte’’</t>
  </si>
  <si>
    <t xml:space="preserve">Convert between units of measurement
</t>
  </si>
  <si>
    <t>Define the terms ‘bit’, ‘nibble’, ‘kilobyte’, ‘megabyte’, ‘gigabyte’, ‘terabyte’, and ‘petabyte’</t>
  </si>
  <si>
    <t>Define ‘lossy compression’ and ‘lossless compression’</t>
  </si>
  <si>
    <t>Explain what data compression is</t>
  </si>
  <si>
    <t>Explain why data may be compressed, and that there are different ways to compress data</t>
  </si>
  <si>
    <t>Calculate compression ratios</t>
  </si>
  <si>
    <t>Explain how data can be compressed using run length encoding (RLE)</t>
  </si>
  <si>
    <t>Represent data in RLE frequency/data pairs</t>
  </si>
  <si>
    <t>Calculate the number of bits required to store a piece of data compressed using Huffman coding</t>
  </si>
  <si>
    <t>Explain how data can be compressed using Huffman coding</t>
  </si>
  <si>
    <t>Interpret a Huffman tree</t>
  </si>
  <si>
    <t>Summarise learning through a final assessment</t>
  </si>
  <si>
    <t>Define a computer network</t>
  </si>
  <si>
    <t>Describe the role of a computer in a peer-to-peer network</t>
  </si>
  <si>
    <t>Discuss the advantages and disadvantages of computer networks</t>
  </si>
  <si>
    <t>Describe the purpose of a PAN, LAN, and a WAN</t>
  </si>
  <si>
    <t>Describe the role of a computer in a client–server network</t>
  </si>
  <si>
    <t>Define a MAC address</t>
  </si>
  <si>
    <t>Describe the tasks performed by the network hardware: wireless access point, router, switch, hub, NIC, and bridge</t>
  </si>
  <si>
    <t>Describe the advantages and disadvantages of the star, bus, mesh, and ring topologies</t>
  </si>
  <si>
    <t>Draw and describe a star, bus, mesh, and ring topology</t>
  </si>
  <si>
    <t>Select an appropriate topology for a given scenario</t>
  </si>
  <si>
    <t>Define a wired and a wireless network</t>
  </si>
  <si>
    <t>Define transmission media</t>
  </si>
  <si>
    <t>Describe Bluetooth as a mode of connection</t>
  </si>
  <si>
    <t>Describe the attributes of fibre optic and copper cables used in wired networks</t>
  </si>
  <si>
    <t>Discuss the advantages and disadvantages of wireless networks compared to wired networks</t>
  </si>
  <si>
    <t xml:space="preserve">Describe the factors that affect network performance (bandwidth, range, latency, number of devices)
</t>
  </si>
  <si>
    <t xml:space="preserve">Determine how network speeds are measured and construct expressions involving file size, transmission rate, and time
</t>
  </si>
  <si>
    <t>Determine methods of routing traffic on a network and calculation of routing costs</t>
  </si>
  <si>
    <t>Describe a DNS and its role in the conversion of a URL to an IP address</t>
  </si>
  <si>
    <t xml:space="preserve">Describe the function of an IP address
</t>
  </si>
  <si>
    <t>Describe the internet as a network of computer networks</t>
  </si>
  <si>
    <t>Describe how servers are used for hosting services across the internet</t>
  </si>
  <si>
    <t>Describe how the cloud provides services for software and storage</t>
  </si>
  <si>
    <t>Describe the role of web servers and clients</t>
  </si>
  <si>
    <t>List the advantages and disadvantages of the cloud</t>
  </si>
  <si>
    <t>Define the purpose and common use of the network protocols: Ethernet, WiFi, HTTP, HTTPS. FTP, POP, SMTP, and IMAP</t>
  </si>
  <si>
    <t>Define the term network protocol</t>
  </si>
  <si>
    <t>Determine the need for standards in network communications</t>
  </si>
  <si>
    <t xml:space="preserve">Define the purpose and common use of the network protocols: TCP, IP, UDP
</t>
  </si>
  <si>
    <t xml:space="preserve">Describe that the HTTP, HTTPS, SMTP, IMAP, and FTP protocols operate at the application layer
</t>
  </si>
  <si>
    <t xml:space="preserve">Describe that the IP protocol operates at the internet layer
</t>
  </si>
  <si>
    <t>Describe that the TCP and UDP protocols operate at the transport layer</t>
  </si>
  <si>
    <t xml:space="preserve">Describe the four layers of the TCP/IP model (Link, Internet, Transport, Application)
</t>
  </si>
  <si>
    <t xml:space="preserve">Describe the typical contents of a TCP/IP packet and packet switching
</t>
  </si>
  <si>
    <t xml:space="preserve">Describe the purpose of each layer in the seven-layer Open Systems Interconnection model (OSI model)
</t>
  </si>
  <si>
    <t xml:space="preserve">Describe the use of contemporary networking protocols in the seven-layer OSI model
</t>
  </si>
  <si>
    <t xml:space="preserve">Determine the need for and importance of network security
</t>
  </si>
  <si>
    <t>Explain network security methods</t>
  </si>
  <si>
    <t xml:space="preserve">Identify different forms of attacks on networks (social engineering, malicious software)
</t>
  </si>
  <si>
    <t>Recall knowledge of networks through a final, summative assessment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</si>
</sst>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0"/>
      <color rgb="FF000000"/>
      <name val="Arial"/>
      <scheme val="minor"/>
    </font>
    <font>
      <b/>
      <sz val="24"/>
      <color theme="1"/>
      <name val="Roboto"/>
    </font>
    <font>
      <sz val="10"/>
      <name val="Arial"/>
      <family val="2"/>
    </font>
    <font>
      <sz val="14"/>
      <color theme="1"/>
      <name val="Roboto"/>
    </font>
    <font>
      <sz val="10"/>
      <color theme="1"/>
      <name val="Roboto"/>
    </font>
    <font>
      <sz val="12"/>
      <color theme="1"/>
      <name val="Roboto"/>
    </font>
    <font>
      <b/>
      <sz val="10"/>
      <color theme="1"/>
      <name val="Roboto"/>
    </font>
    <font>
      <b/>
      <sz val="10"/>
      <color rgb="FFFFFFFF"/>
      <name val="Roboto"/>
    </font>
    <font>
      <sz val="10"/>
      <color theme="1"/>
      <name val="Roboto"/>
    </font>
    <font>
      <sz val="10"/>
      <color theme="1"/>
      <name val="Arial"/>
      <family val="2"/>
      <scheme val="minor"/>
    </font>
    <font>
      <b/>
      <sz val="10"/>
      <color theme="1"/>
      <name val="Arial"/>
      <family val="2"/>
      <scheme val="minor"/>
    </font>
    <font>
      <b/>
      <sz val="10"/>
      <color rgb="FF000000"/>
      <name val="Arial"/>
      <family val="2"/>
      <scheme val="minor"/>
    </font>
    <font>
      <sz val="6"/>
      <color rgb="FF000000"/>
      <name val="Arial"/>
      <family val="2"/>
      <scheme val="minor"/>
    </font>
    <font>
      <sz val="10"/>
      <color rgb="FFFF0000"/>
      <name val="Arial"/>
      <family val="2"/>
      <scheme val="minor"/>
    </font>
    <font>
      <sz val="10"/>
      <color rgb="FFFF0000"/>
      <name val="Roboto"/>
    </font>
    <font>
      <u/>
      <sz val="12"/>
      <color rgb="FF083C92"/>
      <name val="Roboto"/>
    </font>
    <font>
      <sz val="10"/>
      <color rgb="FF000000"/>
      <name val="Arial"/>
      <family val="2"/>
      <scheme val="minor"/>
    </font>
    <font>
      <b/>
      <sz val="10"/>
      <name val="Arial"/>
      <family val="2"/>
      <scheme val="minor"/>
    </font>
    <font>
      <sz val="10"/>
      <name val="Arial"/>
      <family val="2"/>
      <scheme val="minor"/>
    </font>
  </fonts>
  <fills count="6">
    <fill>
      <patternFill patternType="none"/>
    </fill>
    <fill>
      <patternFill patternType="gray125"/>
    </fill>
    <fill>
      <patternFill patternType="solid">
        <fgColor rgb="FF8E7CC3"/>
        <bgColor rgb="FF8E7CC3"/>
      </patternFill>
    </fill>
    <fill>
      <patternFill patternType="solid">
        <fgColor rgb="FFEFEFEF"/>
        <bgColor rgb="FFEFEFEF"/>
      </patternFill>
    </fill>
    <fill>
      <patternFill patternType="solid">
        <fgColor rgb="FFFFFFFF"/>
        <bgColor rgb="FFFFFFFF"/>
      </patternFill>
    </fill>
    <fill>
      <patternFill patternType="solid">
        <fgColor rgb="FFF3F3F3"/>
        <bgColor rgb="FFF3F3F3"/>
      </patternFill>
    </fill>
  </fills>
  <borders count="16">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medium">
        <color rgb="FF000000"/>
      </bottom>
      <diagonal/>
    </border>
    <border>
      <left style="thin">
        <color rgb="FF000000"/>
      </left>
      <right style="thin">
        <color rgb="FF000000"/>
      </right>
      <top style="dotted">
        <color rgb="FFB7B7B7"/>
      </top>
      <bottom style="thin">
        <color rgb="FF000000"/>
      </bottom>
      <diagonal/>
    </border>
    <border>
      <left/>
      <right style="hair">
        <color rgb="FFB7B7B7"/>
      </right>
      <top/>
      <bottom style="hair">
        <color rgb="FFB7B7B7"/>
      </bottom>
      <diagonal/>
    </border>
    <border>
      <left style="thin">
        <color rgb="FF000000"/>
      </left>
      <right style="thin">
        <color rgb="FF000000"/>
      </right>
      <top/>
      <bottom style="thick">
        <color rgb="FF000000"/>
      </bottom>
      <diagonal/>
    </border>
    <border>
      <left style="thin">
        <color rgb="FF000000"/>
      </left>
      <right/>
      <top/>
      <bottom style="thick">
        <color rgb="FF000000"/>
      </bottom>
      <diagonal/>
    </border>
    <border>
      <left/>
      <right/>
      <top/>
      <bottom style="thick">
        <color rgb="FF000000"/>
      </bottom>
      <diagonal/>
    </border>
  </borders>
  <cellStyleXfs count="1">
    <xf numFmtId="0" fontId="0" fillId="0" borderId="0"/>
  </cellStyleXfs>
  <cellXfs count="87">
    <xf numFmtId="0" fontId="0" fillId="0" borderId="0" xfId="0" applyFont="1" applyAlignment="1"/>
    <xf numFmtId="0" fontId="3" fillId="0" borderId="6" xfId="0" applyFont="1" applyBorder="1" applyAlignment="1">
      <alignment horizontal="center" vertical="center"/>
    </xf>
    <xf numFmtId="0" fontId="6" fillId="0" borderId="0" xfId="0" applyFont="1"/>
    <xf numFmtId="0" fontId="6" fillId="0" borderId="0" xfId="0" applyFont="1" applyAlignment="1">
      <alignment vertical="center" wrapText="1"/>
    </xf>
    <xf numFmtId="0" fontId="6" fillId="0" borderId="0" xfId="0" applyFont="1" applyAlignment="1">
      <alignment horizontal="center"/>
    </xf>
    <xf numFmtId="0" fontId="7" fillId="2" borderId="6" xfId="0" applyFont="1" applyFill="1" applyBorder="1" applyAlignment="1">
      <alignment horizontal="left" vertical="center"/>
    </xf>
    <xf numFmtId="0" fontId="3" fillId="0" borderId="6" xfId="0" applyFont="1" applyBorder="1" applyAlignment="1">
      <alignment horizontal="center" vertical="center"/>
    </xf>
    <xf numFmtId="0" fontId="8" fillId="0" borderId="6" xfId="0" applyFont="1" applyBorder="1" applyAlignment="1">
      <alignment horizontal="left" vertical="center" wrapText="1"/>
    </xf>
    <xf numFmtId="0" fontId="8" fillId="0" borderId="0" xfId="0" applyFont="1"/>
    <xf numFmtId="0" fontId="8" fillId="0" borderId="0" xfId="0" applyFont="1" applyAlignment="1">
      <alignment wrapText="1"/>
    </xf>
    <xf numFmtId="0" fontId="8" fillId="0" borderId="6" xfId="0" applyFont="1" applyBorder="1" applyAlignment="1">
      <alignment horizontal="left" vertical="center" wrapText="1"/>
    </xf>
    <xf numFmtId="0" fontId="3" fillId="0" borderId="0" xfId="0" applyFont="1" applyAlignment="1">
      <alignment horizontal="center" vertical="center"/>
    </xf>
    <xf numFmtId="0" fontId="8" fillId="0" borderId="0" xfId="0" applyFont="1" applyAlignment="1">
      <alignment horizontal="left" vertical="center" wrapText="1"/>
    </xf>
    <xf numFmtId="0" fontId="4" fillId="0" borderId="11" xfId="0" applyFont="1" applyBorder="1" applyAlignment="1">
      <alignment wrapText="1"/>
    </xf>
    <xf numFmtId="0" fontId="10" fillId="0" borderId="10" xfId="0" applyFont="1" applyBorder="1" applyAlignment="1">
      <alignment horizontal="center" wrapText="1"/>
    </xf>
    <xf numFmtId="0" fontId="9" fillId="0" borderId="0" xfId="0" applyFont="1" applyAlignment="1">
      <alignment horizontal="center" vertical="center"/>
    </xf>
    <xf numFmtId="0" fontId="9" fillId="0" borderId="7" xfId="0" applyFont="1" applyBorder="1"/>
    <xf numFmtId="0" fontId="9" fillId="0" borderId="0" xfId="0" applyFont="1" applyAlignment="1">
      <alignment horizontal="left" vertical="center"/>
    </xf>
    <xf numFmtId="0" fontId="10" fillId="0" borderId="0" xfId="0" applyFont="1" applyAlignment="1">
      <alignment horizontal="center" wrapText="1"/>
    </xf>
    <xf numFmtId="0" fontId="9" fillId="0" borderId="12" xfId="0" applyFont="1" applyBorder="1" applyAlignment="1">
      <alignment horizontal="left" vertical="center"/>
    </xf>
    <xf numFmtId="0" fontId="9" fillId="0" borderId="0" xfId="0" applyFont="1" applyAlignment="1">
      <alignment horizontal="center" wrapText="1"/>
    </xf>
    <xf numFmtId="0" fontId="10" fillId="0" borderId="7" xfId="0" applyFont="1" applyBorder="1" applyAlignment="1">
      <alignment horizontal="center" wrapText="1"/>
    </xf>
    <xf numFmtId="0" fontId="11" fillId="0" borderId="8" xfId="0" applyFont="1" applyBorder="1" applyAlignment="1">
      <alignment horizontal="left" wrapText="1"/>
    </xf>
    <xf numFmtId="0" fontId="11" fillId="0" borderId="0" xfId="0" applyFont="1" applyAlignment="1">
      <alignment horizontal="left" wrapText="1"/>
    </xf>
    <xf numFmtId="0" fontId="11" fillId="0" borderId="9" xfId="0" applyFont="1" applyBorder="1" applyAlignment="1">
      <alignment horizontal="left" wrapText="1"/>
    </xf>
    <xf numFmtId="0" fontId="10" fillId="0" borderId="9" xfId="0" applyFont="1" applyBorder="1" applyAlignment="1">
      <alignment horizontal="center" wrapText="1"/>
    </xf>
    <xf numFmtId="0" fontId="9" fillId="0" borderId="7" xfId="0" applyFont="1" applyBorder="1" applyAlignment="1">
      <alignment horizontal="center" vertical="center"/>
    </xf>
    <xf numFmtId="0" fontId="9" fillId="0" borderId="7" xfId="0" applyFont="1" applyBorder="1" applyAlignment="1">
      <alignment vertical="center" wrapText="1"/>
    </xf>
    <xf numFmtId="0" fontId="9" fillId="0" borderId="9" xfId="0" applyFont="1" applyBorder="1" applyAlignment="1">
      <alignment vertical="center" wrapText="1"/>
    </xf>
    <xf numFmtId="0" fontId="12" fillId="0" borderId="0" xfId="0" applyFont="1" applyAlignment="1">
      <alignment horizontal="left" vertical="center" textRotation="90"/>
    </xf>
    <xf numFmtId="0" fontId="12" fillId="0" borderId="9" xfId="0" applyFont="1" applyBorder="1" applyAlignment="1">
      <alignment horizontal="left" vertical="center" textRotation="90"/>
    </xf>
    <xf numFmtId="0" fontId="9" fillId="0" borderId="0" xfId="0" applyFont="1" applyAlignment="1">
      <alignment horizontal="left" vertical="center" wrapText="1"/>
    </xf>
    <xf numFmtId="0" fontId="9" fillId="0" borderId="9" xfId="0" applyFont="1" applyBorder="1" applyAlignment="1">
      <alignment horizontal="left" vertical="center" wrapText="1"/>
    </xf>
    <xf numFmtId="0" fontId="9" fillId="0" borderId="0" xfId="0" applyFont="1" applyAlignment="1">
      <alignment horizontal="left" vertical="center"/>
    </xf>
    <xf numFmtId="0" fontId="12" fillId="0" borderId="8" xfId="0" applyFont="1" applyBorder="1" applyAlignment="1">
      <alignment horizontal="left" vertical="center" textRotation="90"/>
    </xf>
    <xf numFmtId="0" fontId="9" fillId="0" borderId="7" xfId="0" applyFont="1" applyBorder="1" applyAlignment="1">
      <alignment horizontal="left" vertical="center"/>
    </xf>
    <xf numFmtId="0" fontId="13" fillId="0" borderId="0" xfId="0" applyFont="1" applyAlignment="1">
      <alignment horizontal="left" vertical="center" wrapText="1"/>
    </xf>
    <xf numFmtId="0" fontId="13" fillId="0" borderId="9" xfId="0" applyFont="1" applyBorder="1" applyAlignment="1">
      <alignment horizontal="left" vertical="center" wrapText="1"/>
    </xf>
    <xf numFmtId="0" fontId="14" fillId="4" borderId="9" xfId="0" applyFont="1" applyFill="1" applyBorder="1" applyAlignment="1"/>
    <xf numFmtId="0" fontId="9" fillId="3" borderId="0" xfId="0" applyFont="1" applyFill="1" applyAlignment="1">
      <alignment horizontal="center" vertical="center"/>
    </xf>
    <xf numFmtId="0" fontId="9" fillId="3" borderId="7" xfId="0" applyFont="1" applyFill="1" applyBorder="1" applyAlignment="1">
      <alignment horizontal="center" vertical="center"/>
    </xf>
    <xf numFmtId="0" fontId="9" fillId="3" borderId="7" xfId="0" applyFont="1" applyFill="1" applyBorder="1" applyAlignment="1">
      <alignment vertical="center" wrapText="1"/>
    </xf>
    <xf numFmtId="0" fontId="9" fillId="3" borderId="9" xfId="0" applyFont="1" applyFill="1" applyBorder="1" applyAlignment="1">
      <alignment vertical="center" wrapText="1"/>
    </xf>
    <xf numFmtId="0" fontId="12" fillId="3" borderId="0" xfId="0" applyFont="1" applyFill="1" applyAlignment="1">
      <alignment horizontal="left" vertical="center" textRotation="90"/>
    </xf>
    <xf numFmtId="0" fontId="12" fillId="3" borderId="9" xfId="0" applyFont="1" applyFill="1" applyBorder="1" applyAlignment="1">
      <alignment horizontal="left" vertical="center" textRotation="90"/>
    </xf>
    <xf numFmtId="0" fontId="9" fillId="3" borderId="0" xfId="0" applyFont="1" applyFill="1" applyAlignment="1">
      <alignment horizontal="left" vertical="center" wrapText="1"/>
    </xf>
    <xf numFmtId="0" fontId="9" fillId="3" borderId="9" xfId="0" applyFont="1" applyFill="1" applyBorder="1" applyAlignment="1">
      <alignment horizontal="left" vertical="center" wrapText="1"/>
    </xf>
    <xf numFmtId="0" fontId="9" fillId="3" borderId="0" xfId="0" applyFont="1" applyFill="1" applyAlignment="1">
      <alignment horizontal="left" vertical="center"/>
    </xf>
    <xf numFmtId="0" fontId="9" fillId="3" borderId="0" xfId="0" applyFont="1" applyFill="1" applyAlignment="1">
      <alignment horizontal="left" vertical="center"/>
    </xf>
    <xf numFmtId="0" fontId="9" fillId="0" borderId="7" xfId="0" applyFont="1" applyBorder="1" applyAlignment="1">
      <alignment horizontal="left"/>
    </xf>
    <xf numFmtId="0" fontId="10" fillId="0" borderId="13" xfId="0" applyFont="1" applyBorder="1" applyAlignment="1">
      <alignment horizontal="center" wrapText="1"/>
    </xf>
    <xf numFmtId="0" fontId="10" fillId="0" borderId="13" xfId="0" applyFont="1" applyBorder="1" applyAlignment="1">
      <alignment horizontal="left" wrapText="1"/>
    </xf>
    <xf numFmtId="0" fontId="10" fillId="0" borderId="14" xfId="0" applyFont="1" applyBorder="1" applyAlignment="1">
      <alignment horizontal="left" wrapText="1"/>
    </xf>
    <xf numFmtId="0" fontId="10" fillId="0" borderId="15" xfId="0" applyFont="1" applyBorder="1" applyAlignment="1">
      <alignment horizontal="left" wrapText="1"/>
    </xf>
    <xf numFmtId="0" fontId="10" fillId="0" borderId="15" xfId="0" applyFont="1" applyBorder="1" applyAlignment="1">
      <alignment horizontal="left" textRotation="90" wrapText="1"/>
    </xf>
    <xf numFmtId="0" fontId="0" fillId="5" borderId="0" xfId="0" applyFont="1" applyFill="1" applyAlignment="1">
      <alignment horizontal="center" vertical="center"/>
    </xf>
    <xf numFmtId="0" fontId="0" fillId="5" borderId="7" xfId="0" applyFont="1" applyFill="1" applyBorder="1" applyAlignment="1">
      <alignment horizontal="center" vertical="center"/>
    </xf>
    <xf numFmtId="0" fontId="0" fillId="5" borderId="7" xfId="0" applyFont="1" applyFill="1" applyBorder="1" applyAlignment="1">
      <alignment vertical="center" wrapText="1"/>
    </xf>
    <xf numFmtId="0" fontId="0" fillId="5" borderId="7" xfId="0" applyFont="1" applyFill="1" applyBorder="1" applyAlignment="1">
      <alignment horizontal="left" vertical="center"/>
    </xf>
    <xf numFmtId="0" fontId="0" fillId="5" borderId="8" xfId="0" applyFont="1" applyFill="1" applyBorder="1" applyAlignment="1">
      <alignment horizontal="left" vertical="center" wrapText="1"/>
    </xf>
    <xf numFmtId="0" fontId="0" fillId="5" borderId="0" xfId="0" applyFont="1" applyFill="1" applyAlignment="1">
      <alignment horizontal="left" vertical="center"/>
    </xf>
    <xf numFmtId="0" fontId="0" fillId="5" borderId="0" xfId="0" applyFont="1" applyFill="1" applyAlignment="1">
      <alignment horizontal="left" vertical="center"/>
    </xf>
    <xf numFmtId="0" fontId="0" fillId="5" borderId="0" xfId="0" applyFont="1" applyFill="1" applyAlignment="1">
      <alignment horizontal="center" vertical="center"/>
    </xf>
    <xf numFmtId="0" fontId="0" fillId="5" borderId="7" xfId="0" applyFont="1" applyFill="1" applyBorder="1" applyAlignment="1">
      <alignment horizontal="center" vertical="center"/>
    </xf>
    <xf numFmtId="0" fontId="0" fillId="5" borderId="7" xfId="0" applyFont="1" applyFill="1" applyBorder="1" applyAlignment="1">
      <alignment vertical="center" wrapText="1"/>
    </xf>
    <xf numFmtId="0" fontId="0" fillId="5" borderId="7" xfId="0" applyFont="1" applyFill="1" applyBorder="1" applyAlignment="1">
      <alignment horizontal="left" vertical="center"/>
    </xf>
    <xf numFmtId="0" fontId="0" fillId="5" borderId="0" xfId="0" applyFont="1" applyFill="1" applyAlignment="1">
      <alignment horizontal="left" vertical="center"/>
    </xf>
    <xf numFmtId="0" fontId="0" fillId="5" borderId="0" xfId="0" applyFont="1" applyFill="1" applyAlignment="1">
      <alignment horizontal="left" vertical="center" wrapText="1"/>
    </xf>
    <xf numFmtId="0" fontId="9" fillId="0" borderId="0" xfId="0" applyFont="1" applyAlignment="1"/>
    <xf numFmtId="0" fontId="5" fillId="0" borderId="0" xfId="0" applyFont="1" applyAlignment="1">
      <alignment vertical="top" wrapText="1"/>
    </xf>
    <xf numFmtId="0" fontId="0" fillId="0" borderId="0" xfId="0" applyFont="1" applyAlignment="1"/>
    <xf numFmtId="0" fontId="6" fillId="0" borderId="0" xfId="0" applyFont="1"/>
    <xf numFmtId="0" fontId="1" fillId="0" borderId="0" xfId="0" applyFont="1" applyAlignment="1">
      <alignment wrapText="1"/>
    </xf>
    <xf numFmtId="0" fontId="7" fillId="2" borderId="1" xfId="0" applyFont="1" applyFill="1" applyBorder="1" applyAlignment="1">
      <alignment vertical="center" wrapText="1"/>
    </xf>
    <xf numFmtId="0" fontId="2" fillId="0" borderId="5" xfId="0" applyFont="1" applyBorder="1"/>
    <xf numFmtId="0" fontId="7" fillId="2" borderId="2" xfId="0" applyFont="1" applyFill="1" applyBorder="1" applyAlignment="1">
      <alignment horizontal="center"/>
    </xf>
    <xf numFmtId="0" fontId="2" fillId="0" borderId="3" xfId="0" applyFont="1" applyBorder="1"/>
    <xf numFmtId="0" fontId="2" fillId="0" borderId="4" xfId="0" applyFont="1" applyBorder="1"/>
    <xf numFmtId="0" fontId="5" fillId="0" borderId="0" xfId="0" applyFont="1" applyAlignment="1">
      <alignment wrapText="1"/>
    </xf>
    <xf numFmtId="0" fontId="11" fillId="0" borderId="8" xfId="0" applyFont="1" applyBorder="1" applyAlignment="1">
      <alignment horizontal="center" wrapText="1"/>
    </xf>
    <xf numFmtId="0" fontId="2" fillId="0" borderId="9" xfId="0" applyFont="1" applyBorder="1"/>
    <xf numFmtId="0" fontId="10" fillId="0" borderId="8" xfId="0" applyFont="1" applyBorder="1" applyAlignment="1">
      <alignment horizontal="center" wrapText="1"/>
    </xf>
    <xf numFmtId="0" fontId="10" fillId="0" borderId="0" xfId="0" applyFont="1" applyAlignment="1">
      <alignment horizontal="center" wrapText="1"/>
    </xf>
    <xf numFmtId="0" fontId="17" fillId="0" borderId="0" xfId="0" applyFont="1" applyAlignment="1">
      <alignment horizontal="center" wrapText="1"/>
    </xf>
    <xf numFmtId="0" fontId="18" fillId="0" borderId="0" xfId="0" applyFont="1" applyAlignment="1">
      <alignment horizontal="left" vertical="center" wrapText="1"/>
    </xf>
    <xf numFmtId="0" fontId="18" fillId="3" borderId="0" xfId="0" applyFont="1" applyFill="1" applyAlignment="1">
      <alignment horizontal="left" vertical="center" wrapText="1"/>
    </xf>
    <xf numFmtId="0" fontId="18" fillId="0" borderId="0" xfId="0" applyFont="1" applyAlignment="1"/>
  </cellXfs>
  <cellStyles count="1">
    <cellStyle name="Normal" xfId="0" builtinId="0"/>
  </cellStyles>
  <dxfs count="20">
    <dxf>
      <fill>
        <patternFill patternType="solid">
          <fgColor rgb="FFB7E1CD"/>
          <bgColor rgb="FFB7E1CD"/>
        </patternFill>
      </fill>
    </dxf>
    <dxf>
      <fill>
        <patternFill patternType="solid">
          <fgColor rgb="FFCCCCCC"/>
          <bgColor rgb="FFCCCCCC"/>
        </patternFill>
      </fill>
    </dxf>
    <dxf>
      <fill>
        <patternFill patternType="solid">
          <fgColor rgb="FFEFEFEF"/>
          <bgColor rgb="FFEFEFEF"/>
        </patternFill>
      </fill>
    </dxf>
    <dxf>
      <font>
        <color rgb="FF8E7CC3"/>
      </font>
      <fill>
        <patternFill patternType="solid">
          <fgColor rgb="FF8E7CC3"/>
          <bgColor rgb="FF8E7CC3"/>
        </patternFill>
      </fill>
    </dxf>
    <dxf>
      <font>
        <color rgb="FF6D9EEB"/>
      </font>
      <fill>
        <patternFill patternType="solid">
          <fgColor rgb="FF6D9EEB"/>
          <bgColor rgb="FF6D9EEB"/>
        </patternFill>
      </fill>
    </dxf>
    <dxf>
      <fill>
        <patternFill patternType="solid">
          <fgColor rgb="FFE06666"/>
          <bgColor rgb="FFE06666"/>
        </patternFill>
      </fill>
    </dxf>
    <dxf>
      <fill>
        <patternFill patternType="solid">
          <fgColor rgb="FFCCCCCC"/>
          <bgColor rgb="FFCCCCCC"/>
        </patternFill>
      </fill>
    </dxf>
    <dxf>
      <fill>
        <patternFill patternType="solid">
          <fgColor rgb="FFEFEFEF"/>
          <bgColor rgb="FFEFEFEF"/>
        </patternFill>
      </fill>
    </dxf>
    <dxf>
      <fill>
        <patternFill patternType="solid">
          <fgColor rgb="FFB7E1CD"/>
          <bgColor rgb="FFB7E1CD"/>
        </patternFill>
      </fill>
    </dxf>
    <dxf>
      <fill>
        <patternFill patternType="solid">
          <fgColor rgb="FFCCCCCC"/>
          <bgColor rgb="FFCCCCCC"/>
        </patternFill>
      </fill>
    </dxf>
    <dxf>
      <fill>
        <patternFill patternType="solid">
          <fgColor rgb="FFEFEFEF"/>
          <bgColor rgb="FFEFEFEF"/>
        </patternFill>
      </fill>
    </dxf>
    <dxf>
      <font>
        <color rgb="FF8E7CC3"/>
      </font>
      <fill>
        <patternFill patternType="solid">
          <fgColor rgb="FF8E7CC3"/>
          <bgColor rgb="FF8E7CC3"/>
        </patternFill>
      </fill>
    </dxf>
    <dxf>
      <font>
        <color rgb="FF6D9EEB"/>
      </font>
      <fill>
        <patternFill patternType="solid">
          <fgColor rgb="FF6D9EEB"/>
          <bgColor rgb="FF6D9EEB"/>
        </patternFill>
      </fill>
    </dxf>
    <dxf>
      <fill>
        <patternFill patternType="solid">
          <fgColor rgb="FFE06666"/>
          <bgColor rgb="FFE06666"/>
        </patternFill>
      </fill>
    </dxf>
    <dxf>
      <fill>
        <patternFill patternType="solid">
          <fgColor rgb="FFCCCCCC"/>
          <bgColor rgb="FFCCCCCC"/>
        </patternFill>
      </fill>
    </dxf>
    <dxf>
      <fill>
        <patternFill patternType="solid">
          <fgColor rgb="FFEFEFEF"/>
          <bgColor rgb="FFEFEFEF"/>
        </patternFill>
      </fill>
    </dxf>
    <dxf>
      <fill>
        <patternFill patternType="solid">
          <fgColor rgb="FFCCCCCC"/>
          <bgColor rgb="FFCCCCCC"/>
        </patternFill>
      </fill>
    </dxf>
    <dxf>
      <fill>
        <patternFill patternType="solid">
          <fgColor rgb="FFEFEFEF"/>
          <bgColor rgb="FFEFEFEF"/>
        </patternFill>
      </fill>
    </dxf>
    <dxf>
      <font>
        <color rgb="FFF3F3F3"/>
      </font>
      <fill>
        <patternFill patternType="solid">
          <fgColor rgb="FFF3F3F3"/>
          <bgColor rgb="FFF3F3F3"/>
        </patternFill>
      </fill>
    </dxf>
    <dxf>
      <font>
        <color rgb="FF6D9EEB"/>
      </font>
      <fill>
        <patternFill patternType="solid">
          <fgColor rgb="FF6D9EEB"/>
          <bgColor rgb="FF6D9EEB"/>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285750</xdr:colOff>
      <xdr:row>0</xdr:row>
      <xdr:rowOff>180975</xdr:rowOff>
    </xdr:from>
    <xdr:ext cx="800100" cy="800100"/>
    <xdr:pic>
      <xdr:nvPicPr>
        <xdr:cNvPr id="2" name="image10.png" title="Image">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xdr:col>
      <xdr:colOff>38100</xdr:colOff>
      <xdr:row>0</xdr:row>
      <xdr:rowOff>180975</xdr:rowOff>
    </xdr:from>
    <xdr:ext cx="800100" cy="800100"/>
    <xdr:pic>
      <xdr:nvPicPr>
        <xdr:cNvPr id="3" name="image12.png" title="Image">
          <a:extLst>
            <a:ext uri="{FF2B5EF4-FFF2-40B4-BE49-F238E27FC236}">
              <a16:creationId xmlns:a16="http://schemas.microsoft.com/office/drawing/2014/main" id="{00000000-0008-0000-03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0</xdr:col>
      <xdr:colOff>285750</xdr:colOff>
      <xdr:row>13</xdr:row>
      <xdr:rowOff>523875</xdr:rowOff>
    </xdr:from>
    <xdr:ext cx="5172075" cy="733425"/>
    <xdr:pic>
      <xdr:nvPicPr>
        <xdr:cNvPr id="4" name="image7.png" title="Image">
          <a:extLst>
            <a:ext uri="{FF2B5EF4-FFF2-40B4-BE49-F238E27FC236}">
              <a16:creationId xmlns:a16="http://schemas.microsoft.com/office/drawing/2014/main" id="{00000000-0008-0000-03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L1000"/>
  <sheetViews>
    <sheetView showGridLines="0" workbookViewId="0"/>
  </sheetViews>
  <sheetFormatPr baseColWidth="10" defaultColWidth="12.6640625" defaultRowHeight="15.75" customHeight="1" x14ac:dyDescent="0.15"/>
  <cols>
    <col min="1" max="1" width="3.6640625" customWidth="1"/>
    <col min="2" max="3" width="10.6640625" customWidth="1"/>
    <col min="4" max="4" width="3.6640625" customWidth="1"/>
    <col min="5" max="5" width="42.83203125" customWidth="1"/>
    <col min="6" max="6" width="3.6640625" customWidth="1"/>
    <col min="7" max="7" width="9.83203125" customWidth="1"/>
    <col min="8" max="8" width="60.6640625" customWidth="1"/>
    <col min="9" max="9" width="3.6640625" customWidth="1"/>
    <col min="12" max="12" width="38.5" customWidth="1"/>
  </cols>
  <sheetData>
    <row r="1" spans="1:12" ht="15.75" customHeight="1" x14ac:dyDescent="0.2">
      <c r="A1" s="2"/>
      <c r="B1" s="2"/>
      <c r="C1" s="2"/>
      <c r="D1" s="2"/>
      <c r="E1" s="2"/>
      <c r="F1" s="2"/>
      <c r="G1" s="3"/>
      <c r="H1" s="3"/>
      <c r="I1" s="2"/>
      <c r="J1" s="4"/>
      <c r="K1" s="4"/>
      <c r="L1" s="4"/>
    </row>
    <row r="2" spans="1:12" ht="15.75" customHeight="1" x14ac:dyDescent="0.2">
      <c r="A2" s="2"/>
      <c r="B2" s="71"/>
      <c r="C2" s="71"/>
      <c r="D2" s="2"/>
      <c r="E2" s="72" t="s">
        <v>0</v>
      </c>
      <c r="F2" s="2"/>
      <c r="G2" s="3"/>
      <c r="H2" s="3"/>
      <c r="I2" s="2"/>
      <c r="J2" s="4"/>
      <c r="K2" s="4"/>
      <c r="L2" s="4"/>
    </row>
    <row r="3" spans="1:12" ht="15.75" customHeight="1" x14ac:dyDescent="0.2">
      <c r="A3" s="2"/>
      <c r="B3" s="70"/>
      <c r="C3" s="70"/>
      <c r="D3" s="2"/>
      <c r="E3" s="70"/>
      <c r="F3" s="2"/>
      <c r="G3" s="3"/>
      <c r="H3" s="3"/>
      <c r="I3" s="2"/>
      <c r="J3" s="4"/>
      <c r="K3" s="4"/>
      <c r="L3" s="4"/>
    </row>
    <row r="4" spans="1:12" ht="15.75" customHeight="1" x14ac:dyDescent="0.2">
      <c r="A4" s="2"/>
      <c r="B4" s="70"/>
      <c r="C4" s="70"/>
      <c r="D4" s="2"/>
      <c r="E4" s="70"/>
      <c r="F4" s="2"/>
      <c r="G4" s="73" t="s">
        <v>1</v>
      </c>
      <c r="H4" s="73" t="s">
        <v>2</v>
      </c>
      <c r="I4" s="2"/>
      <c r="J4" s="75" t="s">
        <v>3</v>
      </c>
      <c r="K4" s="76"/>
      <c r="L4" s="77"/>
    </row>
    <row r="5" spans="1:12" ht="15.75" customHeight="1" x14ac:dyDescent="0.2">
      <c r="A5" s="2"/>
      <c r="B5" s="70"/>
      <c r="C5" s="70"/>
      <c r="D5" s="2"/>
      <c r="E5" s="70"/>
      <c r="F5" s="2"/>
      <c r="G5" s="74"/>
      <c r="H5" s="74"/>
      <c r="I5" s="2"/>
      <c r="J5" s="5" t="s">
        <v>4</v>
      </c>
      <c r="K5" s="5" t="s">
        <v>5</v>
      </c>
      <c r="L5" s="5" t="s">
        <v>6</v>
      </c>
    </row>
    <row r="6" spans="1:12" ht="41.25" customHeight="1" x14ac:dyDescent="0.2">
      <c r="A6" s="2"/>
      <c r="B6" s="78" t="s">
        <v>39</v>
      </c>
      <c r="C6" s="70"/>
      <c r="D6" s="70"/>
      <c r="E6" s="70"/>
      <c r="F6" s="2"/>
      <c r="G6" s="1">
        <v>4.0999999999999996</v>
      </c>
      <c r="H6" s="10" t="s">
        <v>40</v>
      </c>
      <c r="I6" s="2"/>
      <c r="J6" s="6" t="s">
        <v>7</v>
      </c>
      <c r="K6" s="7" t="s">
        <v>8</v>
      </c>
      <c r="L6" s="7" t="s">
        <v>9</v>
      </c>
    </row>
    <row r="7" spans="1:12" ht="41.25" customHeight="1" x14ac:dyDescent="0.2">
      <c r="A7" s="2"/>
      <c r="B7" s="70"/>
      <c r="C7" s="70"/>
      <c r="D7" s="70"/>
      <c r="E7" s="70"/>
      <c r="F7" s="2"/>
      <c r="G7" s="1">
        <v>4.2</v>
      </c>
      <c r="H7" s="10" t="s">
        <v>41</v>
      </c>
      <c r="I7" s="2"/>
      <c r="J7" s="6" t="s">
        <v>10</v>
      </c>
      <c r="K7" s="7" t="s">
        <v>11</v>
      </c>
      <c r="L7" s="7" t="s">
        <v>12</v>
      </c>
    </row>
    <row r="8" spans="1:12" ht="41.25" customHeight="1" x14ac:dyDescent="0.2">
      <c r="A8" s="2"/>
      <c r="B8" s="70"/>
      <c r="C8" s="70"/>
      <c r="D8" s="70"/>
      <c r="E8" s="70"/>
      <c r="F8" s="2"/>
      <c r="G8" s="1">
        <v>4.3</v>
      </c>
      <c r="H8" s="10" t="s">
        <v>42</v>
      </c>
      <c r="I8" s="8"/>
      <c r="J8" s="6" t="s">
        <v>13</v>
      </c>
      <c r="K8" s="7" t="s">
        <v>14</v>
      </c>
      <c r="L8" s="7" t="s">
        <v>15</v>
      </c>
    </row>
    <row r="9" spans="1:12" ht="41.25" customHeight="1" x14ac:dyDescent="0.2">
      <c r="A9" s="8"/>
      <c r="B9" s="70"/>
      <c r="C9" s="70"/>
      <c r="D9" s="70"/>
      <c r="E9" s="70"/>
      <c r="F9" s="8"/>
      <c r="G9" s="11"/>
      <c r="H9" s="12"/>
      <c r="I9" s="8"/>
      <c r="J9" s="6" t="s">
        <v>16</v>
      </c>
      <c r="K9" s="7" t="s">
        <v>17</v>
      </c>
      <c r="L9" s="7" t="s">
        <v>18</v>
      </c>
    </row>
    <row r="10" spans="1:12" ht="41.25" customHeight="1" x14ac:dyDescent="0.2">
      <c r="A10" s="8"/>
      <c r="B10" s="70"/>
      <c r="C10" s="70"/>
      <c r="D10" s="70"/>
      <c r="E10" s="70"/>
      <c r="F10" s="8"/>
      <c r="G10" s="11"/>
      <c r="H10" s="12"/>
      <c r="I10" s="8"/>
      <c r="J10" s="6" t="s">
        <v>19</v>
      </c>
      <c r="K10" s="7" t="s">
        <v>20</v>
      </c>
      <c r="L10" s="7" t="s">
        <v>21</v>
      </c>
    </row>
    <row r="11" spans="1:12" ht="41.25" customHeight="1" x14ac:dyDescent="0.2">
      <c r="A11" s="8"/>
      <c r="B11" s="70"/>
      <c r="C11" s="70"/>
      <c r="D11" s="70"/>
      <c r="E11" s="70"/>
      <c r="F11" s="8"/>
      <c r="G11" s="11"/>
      <c r="H11" s="12"/>
      <c r="I11" s="8"/>
      <c r="J11" s="6" t="s">
        <v>22</v>
      </c>
      <c r="K11" s="7" t="s">
        <v>23</v>
      </c>
      <c r="L11" s="7" t="s">
        <v>24</v>
      </c>
    </row>
    <row r="12" spans="1:12" ht="41.25" customHeight="1" x14ac:dyDescent="0.2">
      <c r="A12" s="8"/>
      <c r="B12" s="70"/>
      <c r="C12" s="70"/>
      <c r="D12" s="70"/>
      <c r="E12" s="70"/>
      <c r="F12" s="8"/>
      <c r="G12" s="8"/>
      <c r="H12" s="8"/>
      <c r="I12" s="8"/>
      <c r="J12" s="6" t="s">
        <v>25</v>
      </c>
      <c r="K12" s="7" t="s">
        <v>26</v>
      </c>
      <c r="L12" s="7" t="s">
        <v>27</v>
      </c>
    </row>
    <row r="13" spans="1:12" ht="41.25" customHeight="1" x14ac:dyDescent="0.2">
      <c r="A13" s="8"/>
      <c r="B13" s="70"/>
      <c r="C13" s="70"/>
      <c r="D13" s="70"/>
      <c r="E13" s="70"/>
      <c r="F13" s="8"/>
      <c r="G13" s="8"/>
      <c r="H13" s="8"/>
      <c r="I13" s="8"/>
      <c r="J13" s="6" t="s">
        <v>28</v>
      </c>
      <c r="K13" s="7" t="s">
        <v>29</v>
      </c>
      <c r="L13" s="7" t="s">
        <v>30</v>
      </c>
    </row>
    <row r="14" spans="1:12" ht="41.25" customHeight="1" x14ac:dyDescent="0.2">
      <c r="A14" s="8"/>
      <c r="B14" s="78" t="s">
        <v>31</v>
      </c>
      <c r="C14" s="70"/>
      <c r="D14" s="70"/>
      <c r="E14" s="70"/>
      <c r="F14" s="8"/>
      <c r="G14" s="8"/>
      <c r="H14" s="9"/>
      <c r="I14" s="8"/>
      <c r="J14" s="6" t="s">
        <v>32</v>
      </c>
      <c r="K14" s="7" t="s">
        <v>33</v>
      </c>
      <c r="L14" s="7" t="s">
        <v>34</v>
      </c>
    </row>
    <row r="15" spans="1:12" ht="41.25" customHeight="1" x14ac:dyDescent="0.2">
      <c r="A15" s="8"/>
      <c r="B15" s="69"/>
      <c r="C15" s="70"/>
      <c r="D15" s="70"/>
      <c r="E15" s="70"/>
      <c r="F15" s="8"/>
      <c r="G15" s="8"/>
      <c r="H15" s="9"/>
      <c r="I15" s="8"/>
      <c r="J15" s="6" t="s">
        <v>35</v>
      </c>
      <c r="K15" s="7" t="s">
        <v>36</v>
      </c>
      <c r="L15" s="7" t="s">
        <v>37</v>
      </c>
    </row>
    <row r="16" spans="1:12" ht="41.25" customHeight="1" x14ac:dyDescent="0.2">
      <c r="A16" s="8"/>
      <c r="B16" s="70"/>
      <c r="C16" s="70"/>
      <c r="D16" s="70"/>
      <c r="E16" s="70"/>
      <c r="F16" s="8"/>
      <c r="G16" s="8"/>
      <c r="H16" s="9"/>
      <c r="I16" s="8"/>
      <c r="J16" s="8"/>
      <c r="K16" s="8"/>
      <c r="L16" s="8"/>
    </row>
    <row r="17" ht="13" x14ac:dyDescent="0.15"/>
    <row r="18" ht="13" x14ac:dyDescent="0.15"/>
    <row r="19" ht="13" x14ac:dyDescent="0.15"/>
    <row r="20" ht="13" x14ac:dyDescent="0.15"/>
    <row r="21" ht="13" x14ac:dyDescent="0.15"/>
    <row r="22" ht="13" x14ac:dyDescent="0.15"/>
    <row r="23" ht="13" x14ac:dyDescent="0.15"/>
    <row r="24" ht="13" x14ac:dyDescent="0.15"/>
    <row r="25" ht="13" x14ac:dyDescent="0.15"/>
    <row r="26" ht="13" x14ac:dyDescent="0.15"/>
    <row r="27" ht="13" x14ac:dyDescent="0.15"/>
    <row r="28" ht="13" x14ac:dyDescent="0.15"/>
    <row r="29" ht="13" x14ac:dyDescent="0.15"/>
    <row r="30" ht="13" x14ac:dyDescent="0.15"/>
    <row r="31" ht="13" x14ac:dyDescent="0.15"/>
    <row r="32" ht="13" x14ac:dyDescent="0.15"/>
    <row r="33" ht="13" x14ac:dyDescent="0.15"/>
    <row r="34" ht="13" x14ac:dyDescent="0.15"/>
    <row r="35" ht="13" x14ac:dyDescent="0.15"/>
    <row r="36" ht="13" x14ac:dyDescent="0.15"/>
    <row r="37" ht="13" x14ac:dyDescent="0.15"/>
    <row r="38" ht="13" x14ac:dyDescent="0.15"/>
    <row r="39" ht="13" x14ac:dyDescent="0.15"/>
    <row r="40" ht="13" x14ac:dyDescent="0.15"/>
    <row r="41" ht="13" x14ac:dyDescent="0.15"/>
    <row r="42" ht="13" x14ac:dyDescent="0.15"/>
    <row r="43" ht="13" x14ac:dyDescent="0.15"/>
    <row r="44" ht="13" x14ac:dyDescent="0.15"/>
    <row r="45" ht="13" x14ac:dyDescent="0.15"/>
    <row r="46" ht="13" x14ac:dyDescent="0.15"/>
    <row r="47" ht="13" x14ac:dyDescent="0.15"/>
    <row r="48" ht="13" x14ac:dyDescent="0.15"/>
    <row r="49" ht="13" x14ac:dyDescent="0.15"/>
    <row r="50" ht="13" x14ac:dyDescent="0.15"/>
    <row r="51" ht="13" x14ac:dyDescent="0.15"/>
    <row r="52" ht="13" x14ac:dyDescent="0.15"/>
    <row r="53" ht="13" x14ac:dyDescent="0.15"/>
    <row r="54" ht="13" x14ac:dyDescent="0.15"/>
    <row r="55" ht="13" x14ac:dyDescent="0.15"/>
    <row r="56" ht="13" x14ac:dyDescent="0.15"/>
    <row r="57" ht="13" x14ac:dyDescent="0.15"/>
    <row r="58" ht="13" x14ac:dyDescent="0.15"/>
    <row r="59" ht="13" x14ac:dyDescent="0.15"/>
    <row r="60" ht="13" x14ac:dyDescent="0.15"/>
    <row r="61" ht="13" x14ac:dyDescent="0.15"/>
    <row r="62" ht="13" x14ac:dyDescent="0.15"/>
    <row r="63" ht="13" x14ac:dyDescent="0.15"/>
    <row r="64" ht="13" x14ac:dyDescent="0.15"/>
    <row r="65" ht="13" x14ac:dyDescent="0.15"/>
    <row r="66" ht="13" x14ac:dyDescent="0.15"/>
    <row r="67" ht="13" x14ac:dyDescent="0.15"/>
    <row r="68" ht="13" x14ac:dyDescent="0.15"/>
    <row r="69" ht="13" x14ac:dyDescent="0.15"/>
    <row r="70" ht="13" x14ac:dyDescent="0.15"/>
    <row r="71" ht="13" x14ac:dyDescent="0.15"/>
    <row r="72" ht="13" x14ac:dyDescent="0.15"/>
    <row r="73" ht="13" x14ac:dyDescent="0.15"/>
    <row r="74" ht="13" x14ac:dyDescent="0.15"/>
    <row r="75" ht="13" x14ac:dyDescent="0.15"/>
    <row r="76" ht="13" x14ac:dyDescent="0.15"/>
    <row r="77" ht="13" x14ac:dyDescent="0.15"/>
    <row r="78" ht="13" x14ac:dyDescent="0.15"/>
    <row r="79" ht="13" x14ac:dyDescent="0.15"/>
    <row r="80" ht="13" x14ac:dyDescent="0.15"/>
    <row r="81" ht="13" x14ac:dyDescent="0.15"/>
    <row r="82" ht="13" x14ac:dyDescent="0.15"/>
    <row r="83" ht="13" x14ac:dyDescent="0.15"/>
    <row r="84" ht="13" x14ac:dyDescent="0.15"/>
    <row r="85" ht="13" x14ac:dyDescent="0.15"/>
    <row r="86" ht="13" x14ac:dyDescent="0.15"/>
    <row r="87" ht="13" x14ac:dyDescent="0.15"/>
    <row r="88" ht="13" x14ac:dyDescent="0.15"/>
    <row r="89" ht="13" x14ac:dyDescent="0.15"/>
    <row r="90" ht="13" x14ac:dyDescent="0.15"/>
    <row r="91" ht="13" x14ac:dyDescent="0.15"/>
    <row r="92" ht="13" x14ac:dyDescent="0.15"/>
    <row r="93" ht="13" x14ac:dyDescent="0.15"/>
    <row r="94" ht="13" x14ac:dyDescent="0.15"/>
    <row r="95" ht="13" x14ac:dyDescent="0.15"/>
    <row r="96" ht="13" x14ac:dyDescent="0.15"/>
    <row r="97" ht="13" x14ac:dyDescent="0.15"/>
    <row r="98" ht="13" x14ac:dyDescent="0.15"/>
    <row r="99" ht="13" x14ac:dyDescent="0.15"/>
    <row r="100" ht="13" x14ac:dyDescent="0.15"/>
    <row r="101" ht="13" x14ac:dyDescent="0.15"/>
    <row r="102" ht="13" x14ac:dyDescent="0.15"/>
    <row r="103" ht="13" x14ac:dyDescent="0.15"/>
    <row r="104" ht="13" x14ac:dyDescent="0.15"/>
    <row r="105" ht="13" x14ac:dyDescent="0.15"/>
    <row r="106" ht="13" x14ac:dyDescent="0.15"/>
    <row r="107" ht="13" x14ac:dyDescent="0.15"/>
    <row r="108" ht="13" x14ac:dyDescent="0.15"/>
    <row r="109" ht="13" x14ac:dyDescent="0.15"/>
    <row r="110" ht="13" x14ac:dyDescent="0.15"/>
    <row r="111" ht="13" x14ac:dyDescent="0.15"/>
    <row r="112" ht="13" x14ac:dyDescent="0.15"/>
    <row r="113" ht="13" x14ac:dyDescent="0.15"/>
    <row r="114" ht="13" x14ac:dyDescent="0.15"/>
    <row r="115" ht="13" x14ac:dyDescent="0.15"/>
    <row r="116" ht="13" x14ac:dyDescent="0.15"/>
    <row r="117" ht="13" x14ac:dyDescent="0.15"/>
    <row r="118" ht="13" x14ac:dyDescent="0.15"/>
    <row r="119" ht="13" x14ac:dyDescent="0.15"/>
    <row r="120" ht="13" x14ac:dyDescent="0.15"/>
    <row r="121" ht="13" x14ac:dyDescent="0.15"/>
    <row r="122" ht="13" x14ac:dyDescent="0.15"/>
    <row r="123" ht="13" x14ac:dyDescent="0.15"/>
    <row r="124" ht="13" x14ac:dyDescent="0.15"/>
    <row r="125" ht="13" x14ac:dyDescent="0.15"/>
    <row r="126" ht="13" x14ac:dyDescent="0.15"/>
    <row r="127" ht="13" x14ac:dyDescent="0.15"/>
    <row r="128" ht="13" x14ac:dyDescent="0.15"/>
    <row r="129" ht="13" x14ac:dyDescent="0.15"/>
    <row r="130" ht="13" x14ac:dyDescent="0.15"/>
    <row r="131" ht="13" x14ac:dyDescent="0.15"/>
    <row r="132" ht="13" x14ac:dyDescent="0.15"/>
    <row r="133" ht="13" x14ac:dyDescent="0.15"/>
    <row r="134" ht="13" x14ac:dyDescent="0.15"/>
    <row r="135" ht="13" x14ac:dyDescent="0.15"/>
    <row r="136" ht="13" x14ac:dyDescent="0.15"/>
    <row r="137" ht="13" x14ac:dyDescent="0.15"/>
    <row r="138" ht="13" x14ac:dyDescent="0.15"/>
    <row r="139" ht="13" x14ac:dyDescent="0.15"/>
    <row r="140" ht="13" x14ac:dyDescent="0.15"/>
    <row r="141" ht="13" x14ac:dyDescent="0.15"/>
    <row r="142" ht="13" x14ac:dyDescent="0.15"/>
    <row r="143" ht="13" x14ac:dyDescent="0.15"/>
    <row r="144" ht="13" x14ac:dyDescent="0.15"/>
    <row r="145" ht="13" x14ac:dyDescent="0.15"/>
    <row r="146" ht="13" x14ac:dyDescent="0.15"/>
    <row r="147" ht="13" x14ac:dyDescent="0.15"/>
    <row r="148" ht="13" x14ac:dyDescent="0.15"/>
    <row r="149" ht="13" x14ac:dyDescent="0.15"/>
    <row r="150" ht="13" x14ac:dyDescent="0.15"/>
    <row r="151" ht="13" x14ac:dyDescent="0.15"/>
    <row r="152" ht="13" x14ac:dyDescent="0.15"/>
    <row r="153" ht="13" x14ac:dyDescent="0.15"/>
    <row r="154" ht="13" x14ac:dyDescent="0.15"/>
    <row r="155" ht="13" x14ac:dyDescent="0.15"/>
    <row r="156" ht="13" x14ac:dyDescent="0.15"/>
    <row r="157" ht="13" x14ac:dyDescent="0.15"/>
    <row r="158" ht="13" x14ac:dyDescent="0.15"/>
    <row r="159" ht="13" x14ac:dyDescent="0.15"/>
    <row r="160" ht="13" x14ac:dyDescent="0.15"/>
    <row r="161" ht="13" x14ac:dyDescent="0.15"/>
    <row r="162" ht="13" x14ac:dyDescent="0.15"/>
    <row r="163" ht="13" x14ac:dyDescent="0.15"/>
    <row r="164" ht="13" x14ac:dyDescent="0.15"/>
    <row r="165" ht="13" x14ac:dyDescent="0.15"/>
    <row r="166" ht="13" x14ac:dyDescent="0.15"/>
    <row r="167" ht="13" x14ac:dyDescent="0.15"/>
    <row r="168" ht="13" x14ac:dyDescent="0.15"/>
    <row r="169" ht="13" x14ac:dyDescent="0.15"/>
    <row r="170" ht="13" x14ac:dyDescent="0.15"/>
    <row r="171" ht="13" x14ac:dyDescent="0.15"/>
    <row r="172" ht="13" x14ac:dyDescent="0.15"/>
    <row r="173" ht="13" x14ac:dyDescent="0.15"/>
    <row r="174" ht="13" x14ac:dyDescent="0.15"/>
    <row r="175" ht="13" x14ac:dyDescent="0.15"/>
    <row r="176" ht="13" x14ac:dyDescent="0.15"/>
    <row r="177" ht="13" x14ac:dyDescent="0.15"/>
    <row r="178" ht="13" x14ac:dyDescent="0.15"/>
    <row r="179" ht="13" x14ac:dyDescent="0.15"/>
    <row r="180" ht="13" x14ac:dyDescent="0.15"/>
    <row r="181" ht="13" x14ac:dyDescent="0.15"/>
    <row r="182" ht="13" x14ac:dyDescent="0.15"/>
    <row r="183" ht="13" x14ac:dyDescent="0.15"/>
    <row r="184" ht="13" x14ac:dyDescent="0.15"/>
    <row r="185" ht="13" x14ac:dyDescent="0.15"/>
    <row r="186" ht="13" x14ac:dyDescent="0.15"/>
    <row r="187" ht="13" x14ac:dyDescent="0.15"/>
    <row r="188" ht="13" x14ac:dyDescent="0.15"/>
    <row r="189" ht="13" x14ac:dyDescent="0.15"/>
    <row r="190" ht="13" x14ac:dyDescent="0.15"/>
    <row r="191" ht="13" x14ac:dyDescent="0.15"/>
    <row r="192" ht="13" x14ac:dyDescent="0.15"/>
    <row r="193" ht="13" x14ac:dyDescent="0.15"/>
    <row r="194" ht="13" x14ac:dyDescent="0.15"/>
    <row r="195" ht="13" x14ac:dyDescent="0.15"/>
    <row r="196" ht="13" x14ac:dyDescent="0.15"/>
    <row r="197" ht="13" x14ac:dyDescent="0.15"/>
    <row r="198" ht="13" x14ac:dyDescent="0.15"/>
    <row r="199" ht="13" x14ac:dyDescent="0.15"/>
    <row r="200" ht="13" x14ac:dyDescent="0.15"/>
    <row r="201" ht="13" x14ac:dyDescent="0.15"/>
    <row r="202" ht="13" x14ac:dyDescent="0.15"/>
    <row r="203" ht="13" x14ac:dyDescent="0.15"/>
    <row r="204" ht="13" x14ac:dyDescent="0.15"/>
    <row r="205" ht="13" x14ac:dyDescent="0.15"/>
    <row r="206" ht="13" x14ac:dyDescent="0.15"/>
    <row r="207" ht="13" x14ac:dyDescent="0.15"/>
    <row r="208" ht="13" x14ac:dyDescent="0.15"/>
    <row r="209" ht="13" x14ac:dyDescent="0.15"/>
    <row r="210" ht="13" x14ac:dyDescent="0.15"/>
    <row r="211" ht="13" x14ac:dyDescent="0.15"/>
    <row r="212" ht="13" x14ac:dyDescent="0.15"/>
    <row r="213" ht="13" x14ac:dyDescent="0.15"/>
    <row r="214" ht="13" x14ac:dyDescent="0.15"/>
    <row r="215" ht="13" x14ac:dyDescent="0.15"/>
    <row r="216" ht="13" x14ac:dyDescent="0.15"/>
    <row r="217" ht="13" x14ac:dyDescent="0.15"/>
    <row r="218" ht="13" x14ac:dyDescent="0.15"/>
    <row r="219" ht="13" x14ac:dyDescent="0.15"/>
    <row r="220" ht="13" x14ac:dyDescent="0.15"/>
    <row r="221" ht="13" x14ac:dyDescent="0.15"/>
    <row r="222" ht="13" x14ac:dyDescent="0.15"/>
    <row r="223" ht="13" x14ac:dyDescent="0.15"/>
    <row r="224" ht="13" x14ac:dyDescent="0.15"/>
    <row r="225" ht="13" x14ac:dyDescent="0.15"/>
    <row r="226" ht="13" x14ac:dyDescent="0.15"/>
    <row r="227" ht="13" x14ac:dyDescent="0.15"/>
    <row r="228" ht="13" x14ac:dyDescent="0.15"/>
    <row r="229" ht="13" x14ac:dyDescent="0.15"/>
    <row r="230" ht="13" x14ac:dyDescent="0.15"/>
    <row r="231" ht="13" x14ac:dyDescent="0.15"/>
    <row r="232" ht="13" x14ac:dyDescent="0.15"/>
    <row r="233" ht="13" x14ac:dyDescent="0.15"/>
    <row r="234" ht="13" x14ac:dyDescent="0.15"/>
    <row r="235" ht="13" x14ac:dyDescent="0.15"/>
    <row r="236" ht="13" x14ac:dyDescent="0.15"/>
    <row r="237" ht="13" x14ac:dyDescent="0.15"/>
    <row r="238" ht="13" x14ac:dyDescent="0.15"/>
    <row r="239" ht="13" x14ac:dyDescent="0.15"/>
    <row r="240" ht="13" x14ac:dyDescent="0.15"/>
    <row r="241" ht="13" x14ac:dyDescent="0.15"/>
    <row r="242" ht="13" x14ac:dyDescent="0.15"/>
    <row r="243" ht="13" x14ac:dyDescent="0.15"/>
    <row r="244" ht="13" x14ac:dyDescent="0.15"/>
    <row r="245" ht="13" x14ac:dyDescent="0.15"/>
    <row r="246" ht="13" x14ac:dyDescent="0.15"/>
    <row r="247" ht="13" x14ac:dyDescent="0.15"/>
    <row r="248" ht="13" x14ac:dyDescent="0.15"/>
    <row r="249" ht="13" x14ac:dyDescent="0.15"/>
    <row r="250" ht="13" x14ac:dyDescent="0.15"/>
    <row r="251" ht="13" x14ac:dyDescent="0.15"/>
    <row r="252" ht="13" x14ac:dyDescent="0.15"/>
    <row r="253" ht="13" x14ac:dyDescent="0.15"/>
    <row r="254" ht="13" x14ac:dyDescent="0.15"/>
    <row r="255" ht="13" x14ac:dyDescent="0.15"/>
    <row r="256" ht="13" x14ac:dyDescent="0.15"/>
    <row r="257" ht="13" x14ac:dyDescent="0.15"/>
    <row r="258" ht="13" x14ac:dyDescent="0.15"/>
    <row r="259" ht="13" x14ac:dyDescent="0.15"/>
    <row r="260" ht="13" x14ac:dyDescent="0.15"/>
    <row r="261" ht="13" x14ac:dyDescent="0.15"/>
    <row r="262" ht="13" x14ac:dyDescent="0.15"/>
    <row r="263" ht="13" x14ac:dyDescent="0.15"/>
    <row r="264" ht="13" x14ac:dyDescent="0.15"/>
    <row r="265" ht="13" x14ac:dyDescent="0.15"/>
    <row r="266" ht="13" x14ac:dyDescent="0.15"/>
    <row r="267" ht="13" x14ac:dyDescent="0.15"/>
    <row r="268" ht="13" x14ac:dyDescent="0.15"/>
    <row r="269" ht="13" x14ac:dyDescent="0.15"/>
    <row r="270" ht="13" x14ac:dyDescent="0.15"/>
    <row r="271" ht="13" x14ac:dyDescent="0.15"/>
    <row r="272" ht="13" x14ac:dyDescent="0.15"/>
    <row r="273" ht="13" x14ac:dyDescent="0.15"/>
    <row r="274" ht="13" x14ac:dyDescent="0.15"/>
    <row r="275" ht="13" x14ac:dyDescent="0.15"/>
    <row r="276" ht="13" x14ac:dyDescent="0.15"/>
    <row r="277" ht="13" x14ac:dyDescent="0.15"/>
    <row r="278" ht="13" x14ac:dyDescent="0.15"/>
    <row r="279" ht="13" x14ac:dyDescent="0.15"/>
    <row r="280" ht="13" x14ac:dyDescent="0.15"/>
    <row r="281" ht="13" x14ac:dyDescent="0.15"/>
    <row r="282" ht="13" x14ac:dyDescent="0.15"/>
    <row r="283" ht="13" x14ac:dyDescent="0.15"/>
    <row r="284" ht="13" x14ac:dyDescent="0.15"/>
    <row r="285" ht="13" x14ac:dyDescent="0.15"/>
    <row r="286" ht="13" x14ac:dyDescent="0.15"/>
    <row r="287" ht="13" x14ac:dyDescent="0.15"/>
    <row r="288" ht="13" x14ac:dyDescent="0.15"/>
    <row r="289" ht="13" x14ac:dyDescent="0.15"/>
    <row r="290" ht="13" x14ac:dyDescent="0.15"/>
    <row r="291" ht="13" x14ac:dyDescent="0.15"/>
    <row r="292" ht="13" x14ac:dyDescent="0.15"/>
    <row r="293" ht="13" x14ac:dyDescent="0.15"/>
    <row r="294" ht="13" x14ac:dyDescent="0.15"/>
    <row r="295" ht="13" x14ac:dyDescent="0.15"/>
    <row r="296" ht="13" x14ac:dyDescent="0.15"/>
    <row r="297" ht="13" x14ac:dyDescent="0.15"/>
    <row r="298" ht="13" x14ac:dyDescent="0.15"/>
    <row r="299" ht="13" x14ac:dyDescent="0.15"/>
    <row r="300" ht="13" x14ac:dyDescent="0.15"/>
    <row r="301" ht="13" x14ac:dyDescent="0.15"/>
    <row r="302" ht="13" x14ac:dyDescent="0.15"/>
    <row r="303" ht="13" x14ac:dyDescent="0.15"/>
    <row r="304" ht="13" x14ac:dyDescent="0.15"/>
    <row r="305" ht="13" x14ac:dyDescent="0.15"/>
    <row r="306" ht="13" x14ac:dyDescent="0.15"/>
    <row r="307" ht="13" x14ac:dyDescent="0.15"/>
    <row r="308" ht="13" x14ac:dyDescent="0.15"/>
    <row r="309" ht="13" x14ac:dyDescent="0.15"/>
    <row r="310" ht="13" x14ac:dyDescent="0.15"/>
    <row r="311" ht="13" x14ac:dyDescent="0.15"/>
    <row r="312" ht="13" x14ac:dyDescent="0.15"/>
    <row r="313" ht="13" x14ac:dyDescent="0.15"/>
    <row r="314" ht="13" x14ac:dyDescent="0.15"/>
    <row r="315" ht="13" x14ac:dyDescent="0.15"/>
    <row r="316" ht="13" x14ac:dyDescent="0.15"/>
    <row r="317" ht="13" x14ac:dyDescent="0.15"/>
    <row r="318" ht="13" x14ac:dyDescent="0.15"/>
    <row r="319" ht="13" x14ac:dyDescent="0.15"/>
    <row r="320" ht="13" x14ac:dyDescent="0.15"/>
    <row r="321" ht="13" x14ac:dyDescent="0.15"/>
    <row r="322" ht="13" x14ac:dyDescent="0.15"/>
    <row r="323" ht="13" x14ac:dyDescent="0.15"/>
    <row r="324" ht="13" x14ac:dyDescent="0.15"/>
    <row r="325" ht="13" x14ac:dyDescent="0.15"/>
    <row r="326" ht="13" x14ac:dyDescent="0.15"/>
    <row r="327" ht="13" x14ac:dyDescent="0.15"/>
    <row r="328" ht="13" x14ac:dyDescent="0.15"/>
    <row r="329" ht="13" x14ac:dyDescent="0.15"/>
    <row r="330" ht="13" x14ac:dyDescent="0.15"/>
    <row r="331" ht="13" x14ac:dyDescent="0.15"/>
    <row r="332" ht="13" x14ac:dyDescent="0.15"/>
    <row r="333" ht="13" x14ac:dyDescent="0.15"/>
    <row r="334" ht="13" x14ac:dyDescent="0.15"/>
    <row r="335" ht="13" x14ac:dyDescent="0.15"/>
    <row r="336" ht="13" x14ac:dyDescent="0.15"/>
    <row r="337" ht="13" x14ac:dyDescent="0.15"/>
    <row r="338" ht="13" x14ac:dyDescent="0.15"/>
    <row r="339" ht="13" x14ac:dyDescent="0.15"/>
    <row r="340" ht="13" x14ac:dyDescent="0.15"/>
    <row r="341" ht="13" x14ac:dyDescent="0.15"/>
    <row r="342" ht="13" x14ac:dyDescent="0.15"/>
    <row r="343" ht="13" x14ac:dyDescent="0.15"/>
    <row r="344" ht="13" x14ac:dyDescent="0.15"/>
    <row r="345" ht="13" x14ac:dyDescent="0.15"/>
    <row r="346" ht="13" x14ac:dyDescent="0.15"/>
    <row r="347" ht="13" x14ac:dyDescent="0.15"/>
    <row r="348" ht="13" x14ac:dyDescent="0.15"/>
    <row r="349" ht="13" x14ac:dyDescent="0.15"/>
    <row r="350" ht="13" x14ac:dyDescent="0.15"/>
    <row r="351" ht="13" x14ac:dyDescent="0.15"/>
    <row r="352" ht="13" x14ac:dyDescent="0.15"/>
    <row r="353" ht="13" x14ac:dyDescent="0.15"/>
    <row r="354" ht="13" x14ac:dyDescent="0.15"/>
    <row r="355" ht="13" x14ac:dyDescent="0.15"/>
    <row r="356" ht="13" x14ac:dyDescent="0.15"/>
    <row r="357" ht="13" x14ac:dyDescent="0.15"/>
    <row r="358" ht="13" x14ac:dyDescent="0.15"/>
    <row r="359" ht="13" x14ac:dyDescent="0.15"/>
    <row r="360" ht="13" x14ac:dyDescent="0.15"/>
    <row r="361" ht="13" x14ac:dyDescent="0.15"/>
    <row r="362" ht="13" x14ac:dyDescent="0.15"/>
    <row r="363" ht="13" x14ac:dyDescent="0.15"/>
    <row r="364" ht="13" x14ac:dyDescent="0.15"/>
    <row r="365" ht="13" x14ac:dyDescent="0.15"/>
    <row r="366" ht="13" x14ac:dyDescent="0.15"/>
    <row r="367" ht="13" x14ac:dyDescent="0.15"/>
    <row r="368" ht="13" x14ac:dyDescent="0.15"/>
    <row r="369" ht="13" x14ac:dyDescent="0.15"/>
    <row r="370" ht="13" x14ac:dyDescent="0.15"/>
    <row r="371" ht="13" x14ac:dyDescent="0.15"/>
    <row r="372" ht="13" x14ac:dyDescent="0.15"/>
    <row r="373" ht="13" x14ac:dyDescent="0.15"/>
    <row r="374" ht="13" x14ac:dyDescent="0.15"/>
    <row r="375" ht="13" x14ac:dyDescent="0.15"/>
    <row r="376" ht="13" x14ac:dyDescent="0.15"/>
    <row r="377" ht="13" x14ac:dyDescent="0.15"/>
    <row r="378" ht="13" x14ac:dyDescent="0.15"/>
    <row r="379" ht="13" x14ac:dyDescent="0.15"/>
    <row r="380" ht="13" x14ac:dyDescent="0.15"/>
    <row r="381" ht="13" x14ac:dyDescent="0.15"/>
    <row r="382" ht="13" x14ac:dyDescent="0.15"/>
    <row r="383" ht="13" x14ac:dyDescent="0.15"/>
    <row r="384" ht="13" x14ac:dyDescent="0.15"/>
    <row r="385" ht="13" x14ac:dyDescent="0.15"/>
    <row r="386" ht="13" x14ac:dyDescent="0.15"/>
    <row r="387" ht="13" x14ac:dyDescent="0.15"/>
    <row r="388" ht="13" x14ac:dyDescent="0.15"/>
    <row r="389" ht="13" x14ac:dyDescent="0.15"/>
    <row r="390" ht="13" x14ac:dyDescent="0.15"/>
    <row r="391" ht="13" x14ac:dyDescent="0.15"/>
    <row r="392" ht="13" x14ac:dyDescent="0.15"/>
    <row r="393" ht="13" x14ac:dyDescent="0.15"/>
    <row r="394" ht="13" x14ac:dyDescent="0.15"/>
    <row r="395" ht="13" x14ac:dyDescent="0.15"/>
    <row r="396" ht="13" x14ac:dyDescent="0.15"/>
    <row r="397" ht="13" x14ac:dyDescent="0.15"/>
    <row r="398" ht="13" x14ac:dyDescent="0.15"/>
    <row r="399" ht="13" x14ac:dyDescent="0.15"/>
    <row r="400" ht="13" x14ac:dyDescent="0.15"/>
    <row r="401" ht="13" x14ac:dyDescent="0.15"/>
    <row r="402" ht="13" x14ac:dyDescent="0.15"/>
    <row r="403" ht="13" x14ac:dyDescent="0.15"/>
    <row r="404" ht="13" x14ac:dyDescent="0.15"/>
    <row r="405" ht="13" x14ac:dyDescent="0.15"/>
    <row r="406" ht="13" x14ac:dyDescent="0.15"/>
    <row r="407" ht="13" x14ac:dyDescent="0.15"/>
    <row r="408" ht="13" x14ac:dyDescent="0.15"/>
    <row r="409" ht="13" x14ac:dyDescent="0.15"/>
    <row r="410" ht="13" x14ac:dyDescent="0.15"/>
    <row r="411" ht="13" x14ac:dyDescent="0.15"/>
    <row r="412" ht="13" x14ac:dyDescent="0.15"/>
    <row r="413" ht="13" x14ac:dyDescent="0.15"/>
    <row r="414" ht="13" x14ac:dyDescent="0.15"/>
    <row r="415" ht="13" x14ac:dyDescent="0.15"/>
    <row r="416" ht="13" x14ac:dyDescent="0.15"/>
    <row r="417" ht="13" x14ac:dyDescent="0.15"/>
    <row r="418" ht="13" x14ac:dyDescent="0.15"/>
    <row r="419" ht="13" x14ac:dyDescent="0.15"/>
    <row r="420" ht="13" x14ac:dyDescent="0.15"/>
    <row r="421" ht="13" x14ac:dyDescent="0.15"/>
    <row r="422" ht="13" x14ac:dyDescent="0.15"/>
    <row r="423" ht="13" x14ac:dyDescent="0.15"/>
    <row r="424" ht="13" x14ac:dyDescent="0.15"/>
    <row r="425" ht="13" x14ac:dyDescent="0.15"/>
    <row r="426" ht="13" x14ac:dyDescent="0.15"/>
    <row r="427" ht="13" x14ac:dyDescent="0.15"/>
    <row r="428" ht="13" x14ac:dyDescent="0.15"/>
    <row r="429" ht="13" x14ac:dyDescent="0.15"/>
    <row r="430" ht="13" x14ac:dyDescent="0.15"/>
    <row r="431" ht="13" x14ac:dyDescent="0.15"/>
    <row r="432" ht="13" x14ac:dyDescent="0.15"/>
    <row r="433" ht="13" x14ac:dyDescent="0.15"/>
    <row r="434" ht="13" x14ac:dyDescent="0.15"/>
    <row r="435" ht="13" x14ac:dyDescent="0.15"/>
    <row r="436" ht="13" x14ac:dyDescent="0.15"/>
    <row r="437" ht="13" x14ac:dyDescent="0.15"/>
    <row r="438" ht="13" x14ac:dyDescent="0.15"/>
    <row r="439" ht="13" x14ac:dyDescent="0.15"/>
    <row r="440" ht="13" x14ac:dyDescent="0.15"/>
    <row r="441" ht="13" x14ac:dyDescent="0.15"/>
    <row r="442" ht="13" x14ac:dyDescent="0.15"/>
    <row r="443" ht="13" x14ac:dyDescent="0.15"/>
    <row r="444" ht="13" x14ac:dyDescent="0.15"/>
    <row r="445" ht="13" x14ac:dyDescent="0.15"/>
    <row r="446" ht="13" x14ac:dyDescent="0.15"/>
    <row r="447" ht="13" x14ac:dyDescent="0.15"/>
    <row r="448" ht="13" x14ac:dyDescent="0.15"/>
    <row r="449" ht="13" x14ac:dyDescent="0.15"/>
    <row r="450" ht="13" x14ac:dyDescent="0.15"/>
    <row r="451" ht="13" x14ac:dyDescent="0.15"/>
    <row r="452" ht="13" x14ac:dyDescent="0.15"/>
    <row r="453" ht="13" x14ac:dyDescent="0.15"/>
    <row r="454" ht="13" x14ac:dyDescent="0.15"/>
    <row r="455" ht="13" x14ac:dyDescent="0.15"/>
    <row r="456" ht="13" x14ac:dyDescent="0.15"/>
    <row r="457" ht="13" x14ac:dyDescent="0.15"/>
    <row r="458" ht="13" x14ac:dyDescent="0.15"/>
    <row r="459" ht="13" x14ac:dyDescent="0.15"/>
    <row r="460" ht="13" x14ac:dyDescent="0.15"/>
    <row r="461" ht="13" x14ac:dyDescent="0.15"/>
    <row r="462" ht="13" x14ac:dyDescent="0.15"/>
    <row r="463" ht="13" x14ac:dyDescent="0.15"/>
    <row r="464" ht="13" x14ac:dyDescent="0.15"/>
    <row r="465" ht="13" x14ac:dyDescent="0.15"/>
    <row r="466" ht="13" x14ac:dyDescent="0.15"/>
    <row r="467" ht="13" x14ac:dyDescent="0.15"/>
    <row r="468" ht="13" x14ac:dyDescent="0.15"/>
    <row r="469" ht="13" x14ac:dyDescent="0.15"/>
    <row r="470" ht="13" x14ac:dyDescent="0.15"/>
    <row r="471" ht="13" x14ac:dyDescent="0.15"/>
    <row r="472" ht="13" x14ac:dyDescent="0.15"/>
    <row r="473" ht="13" x14ac:dyDescent="0.15"/>
    <row r="474" ht="13" x14ac:dyDescent="0.15"/>
    <row r="475" ht="13" x14ac:dyDescent="0.15"/>
    <row r="476" ht="13" x14ac:dyDescent="0.15"/>
    <row r="477" ht="13" x14ac:dyDescent="0.15"/>
    <row r="478" ht="13" x14ac:dyDescent="0.15"/>
    <row r="479" ht="13" x14ac:dyDescent="0.15"/>
    <row r="480" ht="13" x14ac:dyDescent="0.15"/>
    <row r="481" ht="13" x14ac:dyDescent="0.15"/>
    <row r="482" ht="13" x14ac:dyDescent="0.15"/>
    <row r="483" ht="13" x14ac:dyDescent="0.15"/>
    <row r="484" ht="13" x14ac:dyDescent="0.15"/>
    <row r="485" ht="13" x14ac:dyDescent="0.15"/>
    <row r="486" ht="13" x14ac:dyDescent="0.15"/>
    <row r="487" ht="13" x14ac:dyDescent="0.15"/>
    <row r="488" ht="13" x14ac:dyDescent="0.15"/>
    <row r="489" ht="13" x14ac:dyDescent="0.15"/>
    <row r="490" ht="13" x14ac:dyDescent="0.15"/>
    <row r="491" ht="13" x14ac:dyDescent="0.15"/>
    <row r="492" ht="13" x14ac:dyDescent="0.15"/>
    <row r="493" ht="13" x14ac:dyDescent="0.15"/>
    <row r="494" ht="13" x14ac:dyDescent="0.15"/>
    <row r="495" ht="13" x14ac:dyDescent="0.15"/>
    <row r="496" ht="13" x14ac:dyDescent="0.15"/>
    <row r="497" ht="13" x14ac:dyDescent="0.15"/>
    <row r="498" ht="13" x14ac:dyDescent="0.15"/>
    <row r="499" ht="13" x14ac:dyDescent="0.15"/>
    <row r="500" ht="13" x14ac:dyDescent="0.15"/>
    <row r="501" ht="13" x14ac:dyDescent="0.15"/>
    <row r="502" ht="13" x14ac:dyDescent="0.15"/>
    <row r="503" ht="13" x14ac:dyDescent="0.15"/>
    <row r="504" ht="13" x14ac:dyDescent="0.15"/>
    <row r="505" ht="13" x14ac:dyDescent="0.15"/>
    <row r="506" ht="13" x14ac:dyDescent="0.15"/>
    <row r="507" ht="13" x14ac:dyDescent="0.15"/>
    <row r="508" ht="13" x14ac:dyDescent="0.15"/>
    <row r="509" ht="13" x14ac:dyDescent="0.15"/>
    <row r="510" ht="13" x14ac:dyDescent="0.15"/>
    <row r="511" ht="13" x14ac:dyDescent="0.15"/>
    <row r="512" ht="13" x14ac:dyDescent="0.15"/>
    <row r="513" ht="13" x14ac:dyDescent="0.15"/>
    <row r="514" ht="13" x14ac:dyDescent="0.15"/>
    <row r="515" ht="13" x14ac:dyDescent="0.15"/>
    <row r="516" ht="13" x14ac:dyDescent="0.15"/>
    <row r="517" ht="13" x14ac:dyDescent="0.15"/>
    <row r="518" ht="13" x14ac:dyDescent="0.15"/>
    <row r="519" ht="13" x14ac:dyDescent="0.15"/>
    <row r="520" ht="13" x14ac:dyDescent="0.15"/>
    <row r="521" ht="13" x14ac:dyDescent="0.15"/>
    <row r="522" ht="13" x14ac:dyDescent="0.15"/>
    <row r="523" ht="13" x14ac:dyDescent="0.15"/>
    <row r="524" ht="13" x14ac:dyDescent="0.15"/>
    <row r="525" ht="13" x14ac:dyDescent="0.15"/>
    <row r="526" ht="13" x14ac:dyDescent="0.15"/>
    <row r="527" ht="13" x14ac:dyDescent="0.15"/>
    <row r="528" ht="13" x14ac:dyDescent="0.15"/>
    <row r="529" ht="13" x14ac:dyDescent="0.15"/>
    <row r="530" ht="13" x14ac:dyDescent="0.15"/>
    <row r="531" ht="13" x14ac:dyDescent="0.15"/>
    <row r="532" ht="13" x14ac:dyDescent="0.15"/>
    <row r="533" ht="13" x14ac:dyDescent="0.15"/>
    <row r="534" ht="13" x14ac:dyDescent="0.15"/>
    <row r="535" ht="13" x14ac:dyDescent="0.15"/>
    <row r="536" ht="13" x14ac:dyDescent="0.15"/>
    <row r="537" ht="13" x14ac:dyDescent="0.15"/>
    <row r="538" ht="13" x14ac:dyDescent="0.15"/>
    <row r="539" ht="13" x14ac:dyDescent="0.15"/>
    <row r="540" ht="13" x14ac:dyDescent="0.15"/>
    <row r="541" ht="13" x14ac:dyDescent="0.15"/>
    <row r="542" ht="13" x14ac:dyDescent="0.15"/>
    <row r="543" ht="13" x14ac:dyDescent="0.15"/>
    <row r="544" ht="13" x14ac:dyDescent="0.15"/>
    <row r="545" ht="13" x14ac:dyDescent="0.15"/>
    <row r="546" ht="13" x14ac:dyDescent="0.15"/>
    <row r="547" ht="13" x14ac:dyDescent="0.15"/>
    <row r="548" ht="13" x14ac:dyDescent="0.15"/>
    <row r="549" ht="13" x14ac:dyDescent="0.15"/>
    <row r="550" ht="13" x14ac:dyDescent="0.15"/>
    <row r="551" ht="13" x14ac:dyDescent="0.15"/>
    <row r="552" ht="13" x14ac:dyDescent="0.15"/>
    <row r="553" ht="13" x14ac:dyDescent="0.15"/>
    <row r="554" ht="13" x14ac:dyDescent="0.15"/>
    <row r="555" ht="13" x14ac:dyDescent="0.15"/>
    <row r="556" ht="13" x14ac:dyDescent="0.15"/>
    <row r="557" ht="13" x14ac:dyDescent="0.15"/>
    <row r="558" ht="13" x14ac:dyDescent="0.15"/>
    <row r="559" ht="13" x14ac:dyDescent="0.15"/>
    <row r="560" ht="13" x14ac:dyDescent="0.15"/>
    <row r="561" ht="13" x14ac:dyDescent="0.15"/>
    <row r="562" ht="13" x14ac:dyDescent="0.15"/>
    <row r="563" ht="13" x14ac:dyDescent="0.15"/>
    <row r="564" ht="13" x14ac:dyDescent="0.15"/>
    <row r="565" ht="13" x14ac:dyDescent="0.15"/>
    <row r="566" ht="13" x14ac:dyDescent="0.15"/>
    <row r="567" ht="13" x14ac:dyDescent="0.15"/>
    <row r="568" ht="13" x14ac:dyDescent="0.15"/>
    <row r="569" ht="13" x14ac:dyDescent="0.15"/>
    <row r="570" ht="13" x14ac:dyDescent="0.15"/>
    <row r="571" ht="13" x14ac:dyDescent="0.15"/>
    <row r="572" ht="13" x14ac:dyDescent="0.15"/>
    <row r="573" ht="13" x14ac:dyDescent="0.15"/>
    <row r="574" ht="13" x14ac:dyDescent="0.15"/>
    <row r="575" ht="13" x14ac:dyDescent="0.15"/>
    <row r="576" ht="13" x14ac:dyDescent="0.15"/>
    <row r="577" ht="13" x14ac:dyDescent="0.15"/>
    <row r="578" ht="13" x14ac:dyDescent="0.15"/>
    <row r="579" ht="13" x14ac:dyDescent="0.15"/>
    <row r="580" ht="13" x14ac:dyDescent="0.15"/>
    <row r="581" ht="13" x14ac:dyDescent="0.15"/>
    <row r="582" ht="13" x14ac:dyDescent="0.15"/>
    <row r="583" ht="13" x14ac:dyDescent="0.15"/>
    <row r="584" ht="13" x14ac:dyDescent="0.15"/>
    <row r="585" ht="13" x14ac:dyDescent="0.15"/>
    <row r="586" ht="13" x14ac:dyDescent="0.15"/>
    <row r="587" ht="13" x14ac:dyDescent="0.15"/>
    <row r="588" ht="13" x14ac:dyDescent="0.15"/>
    <row r="589" ht="13" x14ac:dyDescent="0.15"/>
    <row r="590" ht="13" x14ac:dyDescent="0.15"/>
    <row r="591" ht="13" x14ac:dyDescent="0.15"/>
    <row r="592" ht="13" x14ac:dyDescent="0.15"/>
    <row r="593" ht="13" x14ac:dyDescent="0.15"/>
    <row r="594" ht="13" x14ac:dyDescent="0.15"/>
    <row r="595" ht="13" x14ac:dyDescent="0.15"/>
    <row r="596" ht="13" x14ac:dyDescent="0.15"/>
    <row r="597" ht="13" x14ac:dyDescent="0.15"/>
    <row r="598" ht="13" x14ac:dyDescent="0.15"/>
    <row r="599" ht="13" x14ac:dyDescent="0.15"/>
    <row r="600" ht="13" x14ac:dyDescent="0.15"/>
    <row r="601" ht="13" x14ac:dyDescent="0.15"/>
    <row r="602" ht="13" x14ac:dyDescent="0.15"/>
    <row r="603" ht="13" x14ac:dyDescent="0.15"/>
    <row r="604" ht="13" x14ac:dyDescent="0.15"/>
    <row r="605" ht="13" x14ac:dyDescent="0.15"/>
    <row r="606" ht="13" x14ac:dyDescent="0.15"/>
    <row r="607" ht="13" x14ac:dyDescent="0.15"/>
    <row r="608" ht="13" x14ac:dyDescent="0.15"/>
    <row r="609" ht="13" x14ac:dyDescent="0.15"/>
    <row r="610" ht="13" x14ac:dyDescent="0.15"/>
    <row r="611" ht="13" x14ac:dyDescent="0.15"/>
    <row r="612" ht="13" x14ac:dyDescent="0.15"/>
    <row r="613" ht="13" x14ac:dyDescent="0.15"/>
    <row r="614" ht="13" x14ac:dyDescent="0.15"/>
    <row r="615" ht="13" x14ac:dyDescent="0.15"/>
    <row r="616" ht="13" x14ac:dyDescent="0.15"/>
    <row r="617" ht="13" x14ac:dyDescent="0.15"/>
    <row r="618" ht="13" x14ac:dyDescent="0.15"/>
    <row r="619" ht="13" x14ac:dyDescent="0.15"/>
    <row r="620" ht="13" x14ac:dyDescent="0.15"/>
    <row r="621" ht="13" x14ac:dyDescent="0.15"/>
    <row r="622" ht="13" x14ac:dyDescent="0.15"/>
    <row r="623" ht="13" x14ac:dyDescent="0.15"/>
    <row r="624" ht="13" x14ac:dyDescent="0.15"/>
    <row r="625" ht="13" x14ac:dyDescent="0.15"/>
    <row r="626" ht="13" x14ac:dyDescent="0.15"/>
    <row r="627" ht="13" x14ac:dyDescent="0.15"/>
    <row r="628" ht="13" x14ac:dyDescent="0.15"/>
    <row r="629" ht="13" x14ac:dyDescent="0.15"/>
    <row r="630" ht="13" x14ac:dyDescent="0.15"/>
    <row r="631" ht="13" x14ac:dyDescent="0.15"/>
    <row r="632" ht="13" x14ac:dyDescent="0.15"/>
    <row r="633" ht="13" x14ac:dyDescent="0.15"/>
    <row r="634" ht="13" x14ac:dyDescent="0.15"/>
    <row r="635" ht="13" x14ac:dyDescent="0.15"/>
    <row r="636" ht="13" x14ac:dyDescent="0.15"/>
    <row r="637" ht="13" x14ac:dyDescent="0.15"/>
    <row r="638" ht="13" x14ac:dyDescent="0.15"/>
    <row r="639" ht="13" x14ac:dyDescent="0.15"/>
    <row r="640" ht="13" x14ac:dyDescent="0.15"/>
    <row r="641" ht="13" x14ac:dyDescent="0.15"/>
    <row r="642" ht="13" x14ac:dyDescent="0.15"/>
    <row r="643" ht="13" x14ac:dyDescent="0.15"/>
    <row r="644" ht="13" x14ac:dyDescent="0.15"/>
    <row r="645" ht="13" x14ac:dyDescent="0.15"/>
    <row r="646" ht="13" x14ac:dyDescent="0.15"/>
    <row r="647" ht="13" x14ac:dyDescent="0.15"/>
    <row r="648" ht="13" x14ac:dyDescent="0.15"/>
    <row r="649" ht="13" x14ac:dyDescent="0.15"/>
    <row r="650" ht="13" x14ac:dyDescent="0.15"/>
    <row r="651" ht="13" x14ac:dyDescent="0.15"/>
    <row r="652" ht="13" x14ac:dyDescent="0.15"/>
    <row r="653" ht="13" x14ac:dyDescent="0.15"/>
    <row r="654" ht="13" x14ac:dyDescent="0.15"/>
    <row r="655" ht="13" x14ac:dyDescent="0.15"/>
    <row r="656" ht="13" x14ac:dyDescent="0.15"/>
    <row r="657" ht="13" x14ac:dyDescent="0.15"/>
    <row r="658" ht="13" x14ac:dyDescent="0.15"/>
    <row r="659" ht="13" x14ac:dyDescent="0.15"/>
    <row r="660" ht="13" x14ac:dyDescent="0.15"/>
    <row r="661" ht="13" x14ac:dyDescent="0.15"/>
    <row r="662" ht="13" x14ac:dyDescent="0.15"/>
    <row r="663" ht="13" x14ac:dyDescent="0.15"/>
    <row r="664" ht="13" x14ac:dyDescent="0.15"/>
    <row r="665" ht="13" x14ac:dyDescent="0.15"/>
    <row r="666" ht="13" x14ac:dyDescent="0.15"/>
    <row r="667" ht="13" x14ac:dyDescent="0.15"/>
    <row r="668" ht="13" x14ac:dyDescent="0.15"/>
    <row r="669" ht="13" x14ac:dyDescent="0.15"/>
    <row r="670" ht="13" x14ac:dyDescent="0.15"/>
    <row r="671" ht="13" x14ac:dyDescent="0.15"/>
    <row r="672" ht="13" x14ac:dyDescent="0.15"/>
    <row r="673" ht="13" x14ac:dyDescent="0.15"/>
    <row r="674" ht="13" x14ac:dyDescent="0.15"/>
    <row r="675" ht="13" x14ac:dyDescent="0.15"/>
    <row r="676" ht="13" x14ac:dyDescent="0.15"/>
    <row r="677" ht="13" x14ac:dyDescent="0.15"/>
    <row r="678" ht="13" x14ac:dyDescent="0.15"/>
    <row r="679" ht="13" x14ac:dyDescent="0.15"/>
    <row r="680" ht="13" x14ac:dyDescent="0.15"/>
    <row r="681" ht="13" x14ac:dyDescent="0.15"/>
    <row r="682" ht="13" x14ac:dyDescent="0.15"/>
    <row r="683" ht="13" x14ac:dyDescent="0.15"/>
    <row r="684" ht="13" x14ac:dyDescent="0.15"/>
    <row r="685" ht="13" x14ac:dyDescent="0.15"/>
    <row r="686" ht="13" x14ac:dyDescent="0.15"/>
    <row r="687" ht="13" x14ac:dyDescent="0.15"/>
    <row r="688" ht="13" x14ac:dyDescent="0.15"/>
    <row r="689" ht="13" x14ac:dyDescent="0.15"/>
    <row r="690" ht="13" x14ac:dyDescent="0.15"/>
    <row r="691" ht="13" x14ac:dyDescent="0.15"/>
    <row r="692" ht="13" x14ac:dyDescent="0.15"/>
    <row r="693" ht="13" x14ac:dyDescent="0.15"/>
    <row r="694" ht="13" x14ac:dyDescent="0.15"/>
    <row r="695" ht="13" x14ac:dyDescent="0.15"/>
    <row r="696" ht="13" x14ac:dyDescent="0.15"/>
    <row r="697" ht="13" x14ac:dyDescent="0.15"/>
    <row r="698" ht="13" x14ac:dyDescent="0.15"/>
    <row r="699" ht="13" x14ac:dyDescent="0.15"/>
    <row r="700" ht="13" x14ac:dyDescent="0.15"/>
    <row r="701" ht="13" x14ac:dyDescent="0.15"/>
    <row r="702" ht="13" x14ac:dyDescent="0.15"/>
    <row r="703" ht="13" x14ac:dyDescent="0.15"/>
    <row r="704" ht="13" x14ac:dyDescent="0.15"/>
    <row r="705" ht="13" x14ac:dyDescent="0.15"/>
    <row r="706" ht="13" x14ac:dyDescent="0.15"/>
    <row r="707" ht="13" x14ac:dyDescent="0.15"/>
    <row r="708" ht="13" x14ac:dyDescent="0.15"/>
    <row r="709" ht="13" x14ac:dyDescent="0.15"/>
    <row r="710" ht="13" x14ac:dyDescent="0.15"/>
    <row r="711" ht="13" x14ac:dyDescent="0.15"/>
    <row r="712" ht="13" x14ac:dyDescent="0.15"/>
    <row r="713" ht="13" x14ac:dyDescent="0.15"/>
    <row r="714" ht="13" x14ac:dyDescent="0.15"/>
    <row r="715" ht="13" x14ac:dyDescent="0.15"/>
    <row r="716" ht="13" x14ac:dyDescent="0.15"/>
    <row r="717" ht="13" x14ac:dyDescent="0.15"/>
    <row r="718" ht="13" x14ac:dyDescent="0.15"/>
    <row r="719" ht="13" x14ac:dyDescent="0.15"/>
    <row r="720" ht="13" x14ac:dyDescent="0.15"/>
    <row r="721" ht="13" x14ac:dyDescent="0.15"/>
    <row r="722" ht="13" x14ac:dyDescent="0.15"/>
    <row r="723" ht="13" x14ac:dyDescent="0.15"/>
    <row r="724" ht="13" x14ac:dyDescent="0.15"/>
    <row r="725" ht="13" x14ac:dyDescent="0.15"/>
    <row r="726" ht="13" x14ac:dyDescent="0.15"/>
    <row r="727" ht="13" x14ac:dyDescent="0.15"/>
    <row r="728" ht="13" x14ac:dyDescent="0.15"/>
    <row r="729" ht="13" x14ac:dyDescent="0.15"/>
    <row r="730" ht="13" x14ac:dyDescent="0.15"/>
    <row r="731" ht="13" x14ac:dyDescent="0.15"/>
    <row r="732" ht="13" x14ac:dyDescent="0.15"/>
    <row r="733" ht="13" x14ac:dyDescent="0.15"/>
    <row r="734" ht="13" x14ac:dyDescent="0.15"/>
    <row r="735" ht="13" x14ac:dyDescent="0.15"/>
    <row r="736" ht="13" x14ac:dyDescent="0.15"/>
    <row r="737" ht="13" x14ac:dyDescent="0.15"/>
    <row r="738" ht="13" x14ac:dyDescent="0.15"/>
    <row r="739" ht="13" x14ac:dyDescent="0.15"/>
    <row r="740" ht="13" x14ac:dyDescent="0.15"/>
    <row r="741" ht="13" x14ac:dyDescent="0.15"/>
    <row r="742" ht="13" x14ac:dyDescent="0.15"/>
    <row r="743" ht="13" x14ac:dyDescent="0.15"/>
    <row r="744" ht="13" x14ac:dyDescent="0.15"/>
    <row r="745" ht="13" x14ac:dyDescent="0.15"/>
    <row r="746" ht="13" x14ac:dyDescent="0.15"/>
    <row r="747" ht="13" x14ac:dyDescent="0.15"/>
    <row r="748" ht="13" x14ac:dyDescent="0.15"/>
    <row r="749" ht="13" x14ac:dyDescent="0.15"/>
    <row r="750" ht="13" x14ac:dyDescent="0.15"/>
    <row r="751" ht="13" x14ac:dyDescent="0.15"/>
    <row r="752" ht="13" x14ac:dyDescent="0.15"/>
    <row r="753" ht="13" x14ac:dyDescent="0.15"/>
    <row r="754" ht="13" x14ac:dyDescent="0.15"/>
    <row r="755" ht="13" x14ac:dyDescent="0.15"/>
    <row r="756" ht="13" x14ac:dyDescent="0.15"/>
    <row r="757" ht="13" x14ac:dyDescent="0.15"/>
    <row r="758" ht="13" x14ac:dyDescent="0.15"/>
    <row r="759" ht="13" x14ac:dyDescent="0.15"/>
    <row r="760" ht="13" x14ac:dyDescent="0.15"/>
    <row r="761" ht="13" x14ac:dyDescent="0.15"/>
    <row r="762" ht="13" x14ac:dyDescent="0.15"/>
    <row r="763" ht="13" x14ac:dyDescent="0.15"/>
    <row r="764" ht="13" x14ac:dyDescent="0.15"/>
    <row r="765" ht="13" x14ac:dyDescent="0.15"/>
    <row r="766" ht="13" x14ac:dyDescent="0.15"/>
    <row r="767" ht="13" x14ac:dyDescent="0.15"/>
    <row r="768" ht="13" x14ac:dyDescent="0.15"/>
    <row r="769" ht="13" x14ac:dyDescent="0.15"/>
    <row r="770" ht="13" x14ac:dyDescent="0.15"/>
    <row r="771" ht="13" x14ac:dyDescent="0.15"/>
    <row r="772" ht="13" x14ac:dyDescent="0.15"/>
    <row r="773" ht="13" x14ac:dyDescent="0.15"/>
    <row r="774" ht="13" x14ac:dyDescent="0.15"/>
    <row r="775" ht="13" x14ac:dyDescent="0.15"/>
    <row r="776" ht="13" x14ac:dyDescent="0.15"/>
    <row r="777" ht="13" x14ac:dyDescent="0.15"/>
    <row r="778" ht="13" x14ac:dyDescent="0.15"/>
    <row r="779" ht="13" x14ac:dyDescent="0.15"/>
    <row r="780" ht="13" x14ac:dyDescent="0.15"/>
    <row r="781" ht="13" x14ac:dyDescent="0.15"/>
    <row r="782" ht="13" x14ac:dyDescent="0.15"/>
    <row r="783" ht="13" x14ac:dyDescent="0.15"/>
    <row r="784" ht="13" x14ac:dyDescent="0.15"/>
    <row r="785" ht="13" x14ac:dyDescent="0.15"/>
    <row r="786" ht="13" x14ac:dyDescent="0.15"/>
    <row r="787" ht="13" x14ac:dyDescent="0.15"/>
    <row r="788" ht="13" x14ac:dyDescent="0.15"/>
    <row r="789" ht="13" x14ac:dyDescent="0.15"/>
    <row r="790" ht="13" x14ac:dyDescent="0.15"/>
    <row r="791" ht="13" x14ac:dyDescent="0.15"/>
    <row r="792" ht="13" x14ac:dyDescent="0.15"/>
    <row r="793" ht="13" x14ac:dyDescent="0.15"/>
    <row r="794" ht="13" x14ac:dyDescent="0.15"/>
    <row r="795" ht="13" x14ac:dyDescent="0.15"/>
    <row r="796" ht="13" x14ac:dyDescent="0.15"/>
    <row r="797" ht="13" x14ac:dyDescent="0.15"/>
    <row r="798" ht="13" x14ac:dyDescent="0.15"/>
    <row r="799" ht="13" x14ac:dyDescent="0.15"/>
    <row r="800" ht="13" x14ac:dyDescent="0.15"/>
    <row r="801" ht="13" x14ac:dyDescent="0.15"/>
    <row r="802" ht="13" x14ac:dyDescent="0.15"/>
    <row r="803" ht="13" x14ac:dyDescent="0.15"/>
    <row r="804" ht="13" x14ac:dyDescent="0.15"/>
    <row r="805" ht="13" x14ac:dyDescent="0.15"/>
    <row r="806" ht="13" x14ac:dyDescent="0.15"/>
    <row r="807" ht="13" x14ac:dyDescent="0.15"/>
    <row r="808" ht="13" x14ac:dyDescent="0.15"/>
    <row r="809" ht="13" x14ac:dyDescent="0.15"/>
    <row r="810" ht="13" x14ac:dyDescent="0.15"/>
    <row r="811" ht="13" x14ac:dyDescent="0.15"/>
    <row r="812" ht="13" x14ac:dyDescent="0.15"/>
    <row r="813" ht="13" x14ac:dyDescent="0.15"/>
    <row r="814" ht="13" x14ac:dyDescent="0.15"/>
    <row r="815" ht="13" x14ac:dyDescent="0.15"/>
    <row r="816" ht="13" x14ac:dyDescent="0.15"/>
    <row r="817" ht="13" x14ac:dyDescent="0.15"/>
    <row r="818" ht="13" x14ac:dyDescent="0.15"/>
    <row r="819" ht="13" x14ac:dyDescent="0.15"/>
    <row r="820" ht="13" x14ac:dyDescent="0.15"/>
    <row r="821" ht="13" x14ac:dyDescent="0.15"/>
    <row r="822" ht="13" x14ac:dyDescent="0.15"/>
    <row r="823" ht="13" x14ac:dyDescent="0.15"/>
    <row r="824" ht="13" x14ac:dyDescent="0.15"/>
    <row r="825" ht="13" x14ac:dyDescent="0.15"/>
    <row r="826" ht="13" x14ac:dyDescent="0.15"/>
    <row r="827" ht="13" x14ac:dyDescent="0.15"/>
    <row r="828" ht="13" x14ac:dyDescent="0.15"/>
    <row r="829" ht="13" x14ac:dyDescent="0.15"/>
    <row r="830" ht="13" x14ac:dyDescent="0.15"/>
    <row r="831" ht="13" x14ac:dyDescent="0.15"/>
    <row r="832" ht="13" x14ac:dyDescent="0.15"/>
    <row r="833" ht="13" x14ac:dyDescent="0.15"/>
    <row r="834" ht="13" x14ac:dyDescent="0.15"/>
    <row r="835" ht="13" x14ac:dyDescent="0.15"/>
    <row r="836" ht="13" x14ac:dyDescent="0.15"/>
    <row r="837" ht="13" x14ac:dyDescent="0.15"/>
    <row r="838" ht="13" x14ac:dyDescent="0.15"/>
    <row r="839" ht="13" x14ac:dyDescent="0.15"/>
    <row r="840" ht="13" x14ac:dyDescent="0.15"/>
    <row r="841" ht="13" x14ac:dyDescent="0.15"/>
    <row r="842" ht="13" x14ac:dyDescent="0.15"/>
    <row r="843" ht="13" x14ac:dyDescent="0.15"/>
    <row r="844" ht="13" x14ac:dyDescent="0.15"/>
    <row r="845" ht="13" x14ac:dyDescent="0.15"/>
    <row r="846" ht="13" x14ac:dyDescent="0.15"/>
    <row r="847" ht="13" x14ac:dyDescent="0.15"/>
    <row r="848" ht="13" x14ac:dyDescent="0.15"/>
    <row r="849" ht="13" x14ac:dyDescent="0.15"/>
    <row r="850" ht="13" x14ac:dyDescent="0.15"/>
    <row r="851" ht="13" x14ac:dyDescent="0.15"/>
    <row r="852" ht="13" x14ac:dyDescent="0.15"/>
    <row r="853" ht="13" x14ac:dyDescent="0.15"/>
    <row r="854" ht="13" x14ac:dyDescent="0.15"/>
    <row r="855" ht="13" x14ac:dyDescent="0.15"/>
    <row r="856" ht="13" x14ac:dyDescent="0.15"/>
    <row r="857" ht="13" x14ac:dyDescent="0.15"/>
    <row r="858" ht="13" x14ac:dyDescent="0.15"/>
    <row r="859" ht="13" x14ac:dyDescent="0.15"/>
    <row r="860" ht="13" x14ac:dyDescent="0.15"/>
    <row r="861" ht="13" x14ac:dyDescent="0.15"/>
    <row r="862" ht="13" x14ac:dyDescent="0.15"/>
    <row r="863" ht="13" x14ac:dyDescent="0.15"/>
    <row r="864" ht="13" x14ac:dyDescent="0.15"/>
    <row r="865" ht="13" x14ac:dyDescent="0.15"/>
    <row r="866" ht="13" x14ac:dyDescent="0.15"/>
    <row r="867" ht="13" x14ac:dyDescent="0.15"/>
    <row r="868" ht="13" x14ac:dyDescent="0.15"/>
    <row r="869" ht="13" x14ac:dyDescent="0.15"/>
    <row r="870" ht="13" x14ac:dyDescent="0.15"/>
    <row r="871" ht="13" x14ac:dyDescent="0.15"/>
    <row r="872" ht="13" x14ac:dyDescent="0.15"/>
    <row r="873" ht="13" x14ac:dyDescent="0.15"/>
    <row r="874" ht="13" x14ac:dyDescent="0.15"/>
    <row r="875" ht="13" x14ac:dyDescent="0.15"/>
    <row r="876" ht="13" x14ac:dyDescent="0.15"/>
    <row r="877" ht="13" x14ac:dyDescent="0.15"/>
    <row r="878" ht="13" x14ac:dyDescent="0.15"/>
    <row r="879" ht="13" x14ac:dyDescent="0.15"/>
    <row r="880" ht="13" x14ac:dyDescent="0.15"/>
    <row r="881" ht="13" x14ac:dyDescent="0.15"/>
    <row r="882" ht="13" x14ac:dyDescent="0.15"/>
    <row r="883" ht="13" x14ac:dyDescent="0.15"/>
    <row r="884" ht="13" x14ac:dyDescent="0.15"/>
    <row r="885" ht="13" x14ac:dyDescent="0.15"/>
    <row r="886" ht="13" x14ac:dyDescent="0.15"/>
    <row r="887" ht="13" x14ac:dyDescent="0.15"/>
    <row r="888" ht="13" x14ac:dyDescent="0.15"/>
    <row r="889" ht="13" x14ac:dyDescent="0.15"/>
    <row r="890" ht="13" x14ac:dyDescent="0.15"/>
    <row r="891" ht="13" x14ac:dyDescent="0.15"/>
    <row r="892" ht="13" x14ac:dyDescent="0.15"/>
    <row r="893" ht="13" x14ac:dyDescent="0.15"/>
    <row r="894" ht="13" x14ac:dyDescent="0.15"/>
    <row r="895" ht="13" x14ac:dyDescent="0.15"/>
    <row r="896" ht="13" x14ac:dyDescent="0.15"/>
    <row r="897" ht="13" x14ac:dyDescent="0.15"/>
    <row r="898" ht="13" x14ac:dyDescent="0.15"/>
    <row r="899" ht="13" x14ac:dyDescent="0.15"/>
    <row r="900" ht="13" x14ac:dyDescent="0.15"/>
    <row r="901" ht="13" x14ac:dyDescent="0.15"/>
    <row r="902" ht="13" x14ac:dyDescent="0.15"/>
    <row r="903" ht="13" x14ac:dyDescent="0.15"/>
    <row r="904" ht="13" x14ac:dyDescent="0.15"/>
    <row r="905" ht="13" x14ac:dyDescent="0.15"/>
    <row r="906" ht="13" x14ac:dyDescent="0.15"/>
    <row r="907" ht="13" x14ac:dyDescent="0.15"/>
    <row r="908" ht="13" x14ac:dyDescent="0.15"/>
    <row r="909" ht="13" x14ac:dyDescent="0.15"/>
    <row r="910" ht="13" x14ac:dyDescent="0.15"/>
    <row r="911" ht="13" x14ac:dyDescent="0.15"/>
    <row r="912" ht="13" x14ac:dyDescent="0.15"/>
    <row r="913" ht="13" x14ac:dyDescent="0.15"/>
    <row r="914" ht="13" x14ac:dyDescent="0.15"/>
    <row r="915" ht="13" x14ac:dyDescent="0.15"/>
    <row r="916" ht="13" x14ac:dyDescent="0.15"/>
    <row r="917" ht="13" x14ac:dyDescent="0.15"/>
    <row r="918" ht="13" x14ac:dyDescent="0.15"/>
    <row r="919" ht="13" x14ac:dyDescent="0.15"/>
    <row r="920" ht="13" x14ac:dyDescent="0.15"/>
    <row r="921" ht="13" x14ac:dyDescent="0.15"/>
    <row r="922" ht="13" x14ac:dyDescent="0.15"/>
    <row r="923" ht="13" x14ac:dyDescent="0.15"/>
    <row r="924" ht="13" x14ac:dyDescent="0.15"/>
    <row r="925" ht="13" x14ac:dyDescent="0.15"/>
    <row r="926" ht="13" x14ac:dyDescent="0.15"/>
    <row r="927" ht="13" x14ac:dyDescent="0.15"/>
    <row r="928" ht="13" x14ac:dyDescent="0.15"/>
    <row r="929" ht="13" x14ac:dyDescent="0.15"/>
    <row r="930" ht="13" x14ac:dyDescent="0.15"/>
    <row r="931" ht="13" x14ac:dyDescent="0.15"/>
    <row r="932" ht="13" x14ac:dyDescent="0.15"/>
    <row r="933" ht="13" x14ac:dyDescent="0.15"/>
    <row r="934" ht="13" x14ac:dyDescent="0.15"/>
    <row r="935" ht="13" x14ac:dyDescent="0.15"/>
    <row r="936" ht="13" x14ac:dyDescent="0.15"/>
    <row r="937" ht="13" x14ac:dyDescent="0.15"/>
    <row r="938" ht="13" x14ac:dyDescent="0.15"/>
    <row r="939" ht="13" x14ac:dyDescent="0.15"/>
    <row r="940" ht="13" x14ac:dyDescent="0.15"/>
    <row r="941" ht="13" x14ac:dyDescent="0.15"/>
    <row r="942" ht="13" x14ac:dyDescent="0.15"/>
    <row r="943" ht="13" x14ac:dyDescent="0.15"/>
    <row r="944" ht="13" x14ac:dyDescent="0.15"/>
    <row r="945" ht="13" x14ac:dyDescent="0.15"/>
    <row r="946" ht="13" x14ac:dyDescent="0.15"/>
    <row r="947" ht="13" x14ac:dyDescent="0.15"/>
    <row r="948" ht="13" x14ac:dyDescent="0.15"/>
    <row r="949" ht="13" x14ac:dyDescent="0.15"/>
    <row r="950" ht="13" x14ac:dyDescent="0.15"/>
    <row r="951" ht="13" x14ac:dyDescent="0.15"/>
    <row r="952" ht="13" x14ac:dyDescent="0.15"/>
    <row r="953" ht="13" x14ac:dyDescent="0.15"/>
    <row r="954" ht="13" x14ac:dyDescent="0.15"/>
    <row r="955" ht="13" x14ac:dyDescent="0.15"/>
    <row r="956" ht="13" x14ac:dyDescent="0.15"/>
    <row r="957" ht="13" x14ac:dyDescent="0.15"/>
    <row r="958" ht="13" x14ac:dyDescent="0.15"/>
    <row r="959" ht="13" x14ac:dyDescent="0.15"/>
    <row r="960" ht="13" x14ac:dyDescent="0.15"/>
    <row r="961" ht="13" x14ac:dyDescent="0.15"/>
    <row r="962" ht="13" x14ac:dyDescent="0.15"/>
    <row r="963" ht="13" x14ac:dyDescent="0.15"/>
    <row r="964" ht="13" x14ac:dyDescent="0.15"/>
    <row r="965" ht="13" x14ac:dyDescent="0.15"/>
    <row r="966" ht="13" x14ac:dyDescent="0.15"/>
    <row r="967" ht="13" x14ac:dyDescent="0.15"/>
    <row r="968" ht="13" x14ac:dyDescent="0.15"/>
    <row r="969" ht="13" x14ac:dyDescent="0.15"/>
    <row r="970" ht="13" x14ac:dyDescent="0.15"/>
    <row r="971" ht="13" x14ac:dyDescent="0.15"/>
    <row r="972" ht="13" x14ac:dyDescent="0.15"/>
    <row r="973" ht="13" x14ac:dyDescent="0.15"/>
    <row r="974" ht="13" x14ac:dyDescent="0.15"/>
    <row r="975" ht="13" x14ac:dyDescent="0.15"/>
    <row r="976" ht="13" x14ac:dyDescent="0.15"/>
    <row r="977" ht="13" x14ac:dyDescent="0.15"/>
    <row r="978" ht="13" x14ac:dyDescent="0.15"/>
    <row r="979" ht="13" x14ac:dyDescent="0.15"/>
    <row r="980" ht="13" x14ac:dyDescent="0.15"/>
    <row r="981" ht="13" x14ac:dyDescent="0.15"/>
    <row r="982" ht="13" x14ac:dyDescent="0.15"/>
    <row r="983" ht="13" x14ac:dyDescent="0.15"/>
    <row r="984" ht="13" x14ac:dyDescent="0.15"/>
    <row r="985" ht="13" x14ac:dyDescent="0.15"/>
    <row r="986" ht="13" x14ac:dyDescent="0.15"/>
    <row r="987" ht="13" x14ac:dyDescent="0.15"/>
    <row r="988" ht="13" x14ac:dyDescent="0.15"/>
    <row r="989" ht="13" x14ac:dyDescent="0.15"/>
    <row r="990" ht="13" x14ac:dyDescent="0.15"/>
    <row r="991" ht="13" x14ac:dyDescent="0.15"/>
    <row r="992" ht="13" x14ac:dyDescent="0.15"/>
    <row r="993" ht="13" x14ac:dyDescent="0.15"/>
    <row r="994" ht="13" x14ac:dyDescent="0.15"/>
    <row r="995" ht="13" x14ac:dyDescent="0.15"/>
    <row r="996" ht="13" x14ac:dyDescent="0.15"/>
    <row r="997" ht="13" x14ac:dyDescent="0.15"/>
    <row r="998" ht="13" x14ac:dyDescent="0.15"/>
    <row r="999" ht="13" x14ac:dyDescent="0.15"/>
    <row r="1000" ht="13" x14ac:dyDescent="0.15"/>
  </sheetData>
  <mergeCells count="9">
    <mergeCell ref="H4:H5"/>
    <mergeCell ref="J4:L4"/>
    <mergeCell ref="B6:E13"/>
    <mergeCell ref="B14:E14"/>
    <mergeCell ref="B15:E16"/>
    <mergeCell ref="B2:B5"/>
    <mergeCell ref="C2:C5"/>
    <mergeCell ref="E2:E5"/>
    <mergeCell ref="G4:G5"/>
  </mergeCells>
  <pageMargins left="0.7" right="0.7" top="0.75" bottom="0.75" header="0" footer="0"/>
  <pageSetup orientation="landscape"/>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Y866"/>
  <sheetViews>
    <sheetView tabSelected="1" workbookViewId="0">
      <pane ySplit="2" topLeftCell="A81" activePane="bottomLeft" state="frozen"/>
      <selection pane="bottomLeft" activeCell="S20" sqref="S20"/>
    </sheetView>
  </sheetViews>
  <sheetFormatPr baseColWidth="10" defaultColWidth="12.6640625" defaultRowHeight="15.75" customHeight="1" x14ac:dyDescent="0.15"/>
  <cols>
    <col min="1" max="1" width="9" customWidth="1"/>
    <col min="2" max="2" width="11.83203125" customWidth="1"/>
    <col min="3" max="3" width="27.5" customWidth="1"/>
    <col min="4" max="4" width="9.6640625" customWidth="1"/>
    <col min="5" max="5" width="70.6640625" customWidth="1"/>
    <col min="6" max="18" width="6.6640625" customWidth="1"/>
    <col min="19" max="19" width="32.1640625" style="86" customWidth="1"/>
    <col min="20" max="20" width="30.83203125" style="86" customWidth="1"/>
    <col min="21" max="21" width="26.5" customWidth="1"/>
    <col min="22" max="22" width="28.6640625" customWidth="1"/>
    <col min="23" max="23" width="29.83203125" customWidth="1"/>
    <col min="24" max="24" width="29.6640625" hidden="1" customWidth="1"/>
    <col min="25" max="25" width="11.33203125" hidden="1" customWidth="1"/>
  </cols>
  <sheetData>
    <row r="1" spans="1:25" ht="15.75" customHeight="1" x14ac:dyDescent="0.15">
      <c r="A1" s="16"/>
      <c r="B1" s="16"/>
      <c r="C1" s="16"/>
      <c r="D1" s="16"/>
      <c r="E1" s="16"/>
      <c r="F1" s="79" t="s">
        <v>43</v>
      </c>
      <c r="G1" s="70"/>
      <c r="H1" s="80"/>
      <c r="I1" s="79" t="s">
        <v>3</v>
      </c>
      <c r="J1" s="70"/>
      <c r="K1" s="70"/>
      <c r="L1" s="70"/>
      <c r="M1" s="70"/>
      <c r="N1" s="70"/>
      <c r="O1" s="70"/>
      <c r="P1" s="70"/>
      <c r="Q1" s="70"/>
      <c r="R1" s="80"/>
      <c r="S1" s="81" t="s">
        <v>63</v>
      </c>
      <c r="T1" s="70"/>
      <c r="U1" s="70"/>
      <c r="V1" s="80"/>
      <c r="W1" s="16"/>
      <c r="Y1" s="20" t="s">
        <v>64</v>
      </c>
    </row>
    <row r="2" spans="1:25" ht="15.75" customHeight="1" x14ac:dyDescent="0.15">
      <c r="A2" s="21" t="s">
        <v>44</v>
      </c>
      <c r="B2" s="14" t="s">
        <v>45</v>
      </c>
      <c r="C2" s="21" t="s">
        <v>46</v>
      </c>
      <c r="D2" s="21" t="s">
        <v>47</v>
      </c>
      <c r="E2" s="21" t="s">
        <v>48</v>
      </c>
      <c r="F2" s="22">
        <v>4.0999999999999996</v>
      </c>
      <c r="G2" s="23">
        <v>4.2</v>
      </c>
      <c r="H2" s="24">
        <v>4.3</v>
      </c>
      <c r="I2" s="22" t="s">
        <v>25</v>
      </c>
      <c r="J2" s="23" t="s">
        <v>10</v>
      </c>
      <c r="K2" s="23" t="s">
        <v>19</v>
      </c>
      <c r="L2" s="23" t="s">
        <v>16</v>
      </c>
      <c r="M2" s="23" t="s">
        <v>13</v>
      </c>
      <c r="N2" s="23" t="s">
        <v>32</v>
      </c>
      <c r="O2" s="23" t="s">
        <v>22</v>
      </c>
      <c r="P2" s="23" t="s">
        <v>7</v>
      </c>
      <c r="Q2" s="23" t="s">
        <v>28</v>
      </c>
      <c r="R2" s="24" t="s">
        <v>35</v>
      </c>
      <c r="S2" s="83" t="s">
        <v>65</v>
      </c>
      <c r="T2" s="83" t="s">
        <v>66</v>
      </c>
      <c r="U2" s="18" t="s">
        <v>67</v>
      </c>
      <c r="V2" s="25" t="s">
        <v>68</v>
      </c>
      <c r="W2" s="21" t="s">
        <v>49</v>
      </c>
      <c r="X2" s="18"/>
      <c r="Y2" s="18">
        <v>0</v>
      </c>
    </row>
    <row r="3" spans="1:25" ht="15.75" customHeight="1" x14ac:dyDescent="0.15">
      <c r="A3" s="15" t="s">
        <v>2056</v>
      </c>
      <c r="B3" s="26">
        <v>1</v>
      </c>
      <c r="C3" s="27" t="s">
        <v>2274</v>
      </c>
      <c r="D3" s="26">
        <v>1</v>
      </c>
      <c r="E3" s="28" t="s">
        <v>2275</v>
      </c>
      <c r="F3" s="29" t="b">
        <v>1</v>
      </c>
      <c r="G3" s="29" t="b">
        <v>1</v>
      </c>
      <c r="H3" s="30"/>
      <c r="I3" s="29" t="b">
        <v>1</v>
      </c>
      <c r="J3" s="29"/>
      <c r="K3" s="29" t="b">
        <v>1</v>
      </c>
      <c r="L3" s="29"/>
      <c r="M3" s="29"/>
      <c r="N3" s="29"/>
      <c r="O3" s="29"/>
      <c r="P3" s="29"/>
      <c r="Q3" s="29" t="b">
        <v>1</v>
      </c>
      <c r="R3" s="30"/>
      <c r="S3" s="84" t="s">
        <v>69</v>
      </c>
      <c r="T3" s="84" t="s">
        <v>26</v>
      </c>
      <c r="U3" s="31" t="s">
        <v>70</v>
      </c>
      <c r="V3" s="32" t="s">
        <v>71</v>
      </c>
      <c r="W3" s="33"/>
      <c r="X3" s="17">
        <v>1</v>
      </c>
      <c r="Y3" s="17">
        <v>0</v>
      </c>
    </row>
    <row r="4" spans="1:25" ht="15.75" customHeight="1" x14ac:dyDescent="0.15">
      <c r="A4" s="15" t="s">
        <v>2056</v>
      </c>
      <c r="B4" s="26">
        <v>1</v>
      </c>
      <c r="C4" s="27" t="s">
        <v>2274</v>
      </c>
      <c r="D4" s="26">
        <v>1</v>
      </c>
      <c r="E4" s="28" t="s">
        <v>2277</v>
      </c>
      <c r="F4" s="29" t="b">
        <v>1</v>
      </c>
      <c r="G4" s="29" t="b">
        <v>1</v>
      </c>
      <c r="H4" s="30"/>
      <c r="I4" s="29"/>
      <c r="J4" s="29"/>
      <c r="K4" s="29" t="b">
        <v>1</v>
      </c>
      <c r="L4" s="29"/>
      <c r="M4" s="29"/>
      <c r="N4" s="29"/>
      <c r="O4" s="29"/>
      <c r="P4" s="29"/>
      <c r="Q4" s="29" t="b">
        <v>1</v>
      </c>
      <c r="R4" s="30"/>
      <c r="S4" s="84" t="s">
        <v>69</v>
      </c>
      <c r="T4" s="84" t="s">
        <v>26</v>
      </c>
      <c r="U4" s="31" t="s">
        <v>70</v>
      </c>
      <c r="V4" s="32"/>
      <c r="W4" s="33"/>
      <c r="X4" s="17">
        <v>1</v>
      </c>
      <c r="Y4" s="17">
        <v>0</v>
      </c>
    </row>
    <row r="5" spans="1:25" ht="15.75" customHeight="1" x14ac:dyDescent="0.15">
      <c r="A5" s="15" t="s">
        <v>2056</v>
      </c>
      <c r="B5" s="26">
        <v>1</v>
      </c>
      <c r="C5" s="27" t="s">
        <v>2274</v>
      </c>
      <c r="D5" s="26">
        <v>1</v>
      </c>
      <c r="E5" s="28" t="s">
        <v>2276</v>
      </c>
      <c r="F5" s="29" t="b">
        <v>1</v>
      </c>
      <c r="G5" s="29" t="b">
        <v>1</v>
      </c>
      <c r="H5" s="30"/>
      <c r="I5" s="29"/>
      <c r="J5" s="29"/>
      <c r="K5" s="29" t="b">
        <v>1</v>
      </c>
      <c r="L5" s="29"/>
      <c r="M5" s="29"/>
      <c r="N5" s="29"/>
      <c r="O5" s="29"/>
      <c r="P5" s="29"/>
      <c r="Q5" s="29" t="b">
        <v>1</v>
      </c>
      <c r="R5" s="30"/>
      <c r="S5" s="84" t="s">
        <v>69</v>
      </c>
      <c r="T5" s="84" t="s">
        <v>26</v>
      </c>
      <c r="U5" s="31" t="s">
        <v>70</v>
      </c>
      <c r="V5" s="32" t="s">
        <v>71</v>
      </c>
      <c r="W5" s="33"/>
      <c r="X5" s="17">
        <v>1</v>
      </c>
      <c r="Y5" s="17">
        <v>0</v>
      </c>
    </row>
    <row r="6" spans="1:25" ht="15.75" customHeight="1" x14ac:dyDescent="0.15">
      <c r="A6" s="15" t="s">
        <v>2056</v>
      </c>
      <c r="B6" s="26">
        <v>1</v>
      </c>
      <c r="C6" s="27" t="s">
        <v>2274</v>
      </c>
      <c r="D6" s="26">
        <v>1</v>
      </c>
      <c r="E6" s="28" t="s">
        <v>2278</v>
      </c>
      <c r="F6" s="29" t="b">
        <v>1</v>
      </c>
      <c r="G6" s="29" t="b">
        <v>1</v>
      </c>
      <c r="H6" s="30"/>
      <c r="I6" s="29"/>
      <c r="J6" s="29"/>
      <c r="K6" s="29" t="b">
        <v>1</v>
      </c>
      <c r="L6" s="29"/>
      <c r="M6" s="29"/>
      <c r="N6" s="29"/>
      <c r="O6" s="29"/>
      <c r="P6" s="29"/>
      <c r="Q6" s="29" t="b">
        <v>1</v>
      </c>
      <c r="R6" s="30"/>
      <c r="S6" s="84" t="s">
        <v>69</v>
      </c>
      <c r="T6" s="84"/>
      <c r="U6" s="31"/>
      <c r="V6" s="32"/>
      <c r="W6" s="33"/>
      <c r="X6" s="17">
        <v>1</v>
      </c>
      <c r="Y6" s="17">
        <v>0</v>
      </c>
    </row>
    <row r="7" spans="1:25" ht="15.75" customHeight="1" x14ac:dyDescent="0.15">
      <c r="A7" s="15" t="s">
        <v>2056</v>
      </c>
      <c r="B7" s="26">
        <v>1</v>
      </c>
      <c r="C7" s="27" t="s">
        <v>2274</v>
      </c>
      <c r="D7" s="26">
        <v>2</v>
      </c>
      <c r="E7" s="28" t="s">
        <v>2280</v>
      </c>
      <c r="F7" s="29" t="b">
        <v>1</v>
      </c>
      <c r="G7" s="29" t="b">
        <v>1</v>
      </c>
      <c r="H7" s="30"/>
      <c r="I7" s="29" t="b">
        <v>1</v>
      </c>
      <c r="J7" s="29"/>
      <c r="K7" s="29"/>
      <c r="L7" s="29"/>
      <c r="M7" s="29"/>
      <c r="N7" s="29"/>
      <c r="O7" s="29"/>
      <c r="P7" s="29"/>
      <c r="Q7" s="29" t="b">
        <v>1</v>
      </c>
      <c r="R7" s="30"/>
      <c r="S7" s="84" t="s">
        <v>69</v>
      </c>
      <c r="T7" s="84" t="s">
        <v>26</v>
      </c>
      <c r="U7" s="31"/>
      <c r="V7" s="32" t="s">
        <v>72</v>
      </c>
      <c r="W7" s="33"/>
      <c r="X7" s="17">
        <v>1</v>
      </c>
      <c r="Y7" s="17">
        <v>0</v>
      </c>
    </row>
    <row r="8" spans="1:25" ht="15.75" customHeight="1" x14ac:dyDescent="0.15">
      <c r="A8" s="15" t="s">
        <v>2056</v>
      </c>
      <c r="B8" s="26">
        <v>1</v>
      </c>
      <c r="C8" s="27" t="s">
        <v>2274</v>
      </c>
      <c r="D8" s="26">
        <v>2</v>
      </c>
      <c r="E8" s="28" t="s">
        <v>2283</v>
      </c>
      <c r="F8" s="29" t="b">
        <v>1</v>
      </c>
      <c r="G8" s="29" t="b">
        <v>1</v>
      </c>
      <c r="H8" s="30"/>
      <c r="I8" s="29"/>
      <c r="J8" s="29"/>
      <c r="K8" s="29"/>
      <c r="L8" s="29"/>
      <c r="M8" s="29"/>
      <c r="N8" s="29" t="b">
        <v>1</v>
      </c>
      <c r="O8" s="29"/>
      <c r="P8" s="29"/>
      <c r="Q8" s="29" t="b">
        <v>1</v>
      </c>
      <c r="R8" s="30"/>
      <c r="S8" s="84" t="s">
        <v>69</v>
      </c>
      <c r="T8" s="84" t="s">
        <v>26</v>
      </c>
      <c r="U8" s="31" t="s">
        <v>70</v>
      </c>
      <c r="V8" s="32" t="s">
        <v>72</v>
      </c>
      <c r="W8" s="33"/>
      <c r="X8" s="17">
        <v>1</v>
      </c>
      <c r="Y8" s="17">
        <v>0</v>
      </c>
    </row>
    <row r="9" spans="1:25" ht="15.75" customHeight="1" x14ac:dyDescent="0.15">
      <c r="A9" s="15" t="s">
        <v>2056</v>
      </c>
      <c r="B9" s="26">
        <v>1</v>
      </c>
      <c r="C9" s="27" t="s">
        <v>2274</v>
      </c>
      <c r="D9" s="26">
        <v>2</v>
      </c>
      <c r="E9" s="28" t="s">
        <v>2282</v>
      </c>
      <c r="F9" s="29" t="b">
        <v>1</v>
      </c>
      <c r="G9" s="29" t="b">
        <v>1</v>
      </c>
      <c r="H9" s="30"/>
      <c r="I9" s="29" t="b">
        <v>1</v>
      </c>
      <c r="J9" s="29"/>
      <c r="K9" s="29"/>
      <c r="L9" s="29"/>
      <c r="M9" s="29"/>
      <c r="N9" s="29"/>
      <c r="O9" s="29"/>
      <c r="P9" s="29"/>
      <c r="Q9" s="29" t="b">
        <v>1</v>
      </c>
      <c r="R9" s="30"/>
      <c r="S9" s="84" t="s">
        <v>69</v>
      </c>
      <c r="T9" s="84" t="s">
        <v>26</v>
      </c>
      <c r="U9" s="31" t="s">
        <v>70</v>
      </c>
      <c r="V9" s="32"/>
      <c r="W9" s="33"/>
      <c r="X9" s="17">
        <v>1</v>
      </c>
      <c r="Y9" s="17">
        <v>0</v>
      </c>
    </row>
    <row r="10" spans="1:25" ht="15.75" customHeight="1" x14ac:dyDescent="0.15">
      <c r="A10" s="15" t="s">
        <v>2056</v>
      </c>
      <c r="B10" s="26">
        <v>1</v>
      </c>
      <c r="C10" s="27" t="s">
        <v>2274</v>
      </c>
      <c r="D10" s="26">
        <v>2</v>
      </c>
      <c r="E10" s="28" t="s">
        <v>2281</v>
      </c>
      <c r="F10" s="29" t="b">
        <v>1</v>
      </c>
      <c r="G10" s="29" t="b">
        <v>1</v>
      </c>
      <c r="H10" s="30"/>
      <c r="I10" s="29" t="b">
        <v>1</v>
      </c>
      <c r="J10" s="29"/>
      <c r="K10" s="29"/>
      <c r="L10" s="29"/>
      <c r="M10" s="29"/>
      <c r="N10" s="29"/>
      <c r="O10" s="29"/>
      <c r="P10" s="29"/>
      <c r="Q10" s="29" t="b">
        <v>1</v>
      </c>
      <c r="R10" s="30"/>
      <c r="S10" s="84" t="s">
        <v>29</v>
      </c>
      <c r="T10" s="84" t="s">
        <v>26</v>
      </c>
      <c r="U10" s="31" t="s">
        <v>70</v>
      </c>
      <c r="V10" s="32"/>
      <c r="W10" s="33"/>
      <c r="X10" s="17">
        <v>1</v>
      </c>
      <c r="Y10" s="17">
        <v>0</v>
      </c>
    </row>
    <row r="11" spans="1:25" ht="15.75" customHeight="1" x14ac:dyDescent="0.15">
      <c r="A11" s="15" t="s">
        <v>2056</v>
      </c>
      <c r="B11" s="26">
        <v>1</v>
      </c>
      <c r="C11" s="27" t="s">
        <v>2274</v>
      </c>
      <c r="D11" s="26">
        <v>2</v>
      </c>
      <c r="E11" s="28" t="s">
        <v>2279</v>
      </c>
      <c r="F11" s="29" t="b">
        <v>1</v>
      </c>
      <c r="G11" s="29" t="b">
        <v>1</v>
      </c>
      <c r="H11" s="30"/>
      <c r="I11" s="29" t="b">
        <v>1</v>
      </c>
      <c r="J11" s="29"/>
      <c r="K11" s="29"/>
      <c r="L11" s="29"/>
      <c r="M11" s="29"/>
      <c r="N11" s="29"/>
      <c r="O11" s="29"/>
      <c r="P11" s="29"/>
      <c r="Q11" s="29" t="b">
        <v>1</v>
      </c>
      <c r="R11" s="30"/>
      <c r="S11" s="84" t="s">
        <v>69</v>
      </c>
      <c r="T11" s="84" t="s">
        <v>26</v>
      </c>
      <c r="U11" s="31"/>
      <c r="V11" s="32" t="s">
        <v>72</v>
      </c>
      <c r="W11" s="33"/>
      <c r="X11" s="17">
        <v>1</v>
      </c>
      <c r="Y11" s="17">
        <v>0</v>
      </c>
    </row>
    <row r="12" spans="1:25" ht="15.75" customHeight="1" x14ac:dyDescent="0.15">
      <c r="A12" s="15" t="s">
        <v>2056</v>
      </c>
      <c r="B12" s="26">
        <v>1</v>
      </c>
      <c r="C12" s="27" t="s">
        <v>2274</v>
      </c>
      <c r="D12" s="26">
        <v>3</v>
      </c>
      <c r="E12" s="28" t="s">
        <v>2287</v>
      </c>
      <c r="F12" s="29" t="b">
        <v>1</v>
      </c>
      <c r="G12" s="29" t="b">
        <v>1</v>
      </c>
      <c r="H12" s="30"/>
      <c r="I12" s="29"/>
      <c r="J12" s="29"/>
      <c r="K12" s="29"/>
      <c r="L12" s="29"/>
      <c r="M12" s="29"/>
      <c r="N12" s="29"/>
      <c r="O12" s="29"/>
      <c r="P12" s="29"/>
      <c r="Q12" s="29" t="b">
        <v>1</v>
      </c>
      <c r="R12" s="30"/>
      <c r="S12" s="84" t="s">
        <v>69</v>
      </c>
      <c r="T12" s="84" t="s">
        <v>26</v>
      </c>
      <c r="U12" s="31" t="s">
        <v>70</v>
      </c>
      <c r="V12" s="32" t="s">
        <v>72</v>
      </c>
      <c r="W12" s="33"/>
      <c r="X12" s="17">
        <v>1</v>
      </c>
      <c r="Y12" s="17">
        <v>0</v>
      </c>
    </row>
    <row r="13" spans="1:25" ht="15.75" customHeight="1" x14ac:dyDescent="0.15">
      <c r="A13" s="15" t="s">
        <v>2056</v>
      </c>
      <c r="B13" s="26">
        <v>1</v>
      </c>
      <c r="C13" s="27" t="s">
        <v>2274</v>
      </c>
      <c r="D13" s="26">
        <v>3</v>
      </c>
      <c r="E13" s="28" t="s">
        <v>2285</v>
      </c>
      <c r="F13" s="29" t="b">
        <v>1</v>
      </c>
      <c r="G13" s="29" t="b">
        <v>1</v>
      </c>
      <c r="H13" s="30"/>
      <c r="I13" s="29" t="b">
        <v>1</v>
      </c>
      <c r="J13" s="29"/>
      <c r="K13" s="29"/>
      <c r="L13" s="29"/>
      <c r="M13" s="29"/>
      <c r="N13" s="29"/>
      <c r="O13" s="29"/>
      <c r="P13" s="29"/>
      <c r="Q13" s="29" t="b">
        <v>1</v>
      </c>
      <c r="R13" s="30"/>
      <c r="S13" s="84" t="s">
        <v>69</v>
      </c>
      <c r="T13" s="84" t="s">
        <v>26</v>
      </c>
      <c r="U13" s="31" t="s">
        <v>70</v>
      </c>
      <c r="V13" s="32" t="s">
        <v>72</v>
      </c>
      <c r="W13" s="33"/>
      <c r="X13" s="17">
        <v>1</v>
      </c>
      <c r="Y13" s="17">
        <v>0</v>
      </c>
    </row>
    <row r="14" spans="1:25" ht="15.75" customHeight="1" x14ac:dyDescent="0.15">
      <c r="A14" s="15" t="s">
        <v>2056</v>
      </c>
      <c r="B14" s="26">
        <v>1</v>
      </c>
      <c r="C14" s="27" t="s">
        <v>2274</v>
      </c>
      <c r="D14" s="26">
        <v>3</v>
      </c>
      <c r="E14" s="28" t="s">
        <v>2286</v>
      </c>
      <c r="F14" s="29" t="b">
        <v>1</v>
      </c>
      <c r="G14" s="29" t="b">
        <v>1</v>
      </c>
      <c r="H14" s="30"/>
      <c r="I14" s="29"/>
      <c r="J14" s="29"/>
      <c r="K14" s="29"/>
      <c r="L14" s="29"/>
      <c r="M14" s="29"/>
      <c r="N14" s="29"/>
      <c r="O14" s="29"/>
      <c r="P14" s="29"/>
      <c r="Q14" s="29" t="b">
        <v>1</v>
      </c>
      <c r="R14" s="30"/>
      <c r="S14" s="84" t="s">
        <v>69</v>
      </c>
      <c r="T14" s="84" t="s">
        <v>26</v>
      </c>
      <c r="U14" s="31" t="s">
        <v>70</v>
      </c>
      <c r="V14" s="32" t="s">
        <v>72</v>
      </c>
      <c r="W14" s="33"/>
      <c r="X14" s="17">
        <v>1</v>
      </c>
      <c r="Y14" s="17">
        <v>0</v>
      </c>
    </row>
    <row r="15" spans="1:25" ht="15.75" customHeight="1" x14ac:dyDescent="0.15">
      <c r="A15" s="15" t="s">
        <v>2056</v>
      </c>
      <c r="B15" s="26">
        <v>1</v>
      </c>
      <c r="C15" s="27" t="s">
        <v>2274</v>
      </c>
      <c r="D15" s="26">
        <v>3</v>
      </c>
      <c r="E15" s="28" t="s">
        <v>2288</v>
      </c>
      <c r="F15" s="29" t="b">
        <v>1</v>
      </c>
      <c r="G15" s="29" t="b">
        <v>1</v>
      </c>
      <c r="H15" s="30"/>
      <c r="I15" s="29"/>
      <c r="J15" s="29"/>
      <c r="K15" s="29"/>
      <c r="L15" s="29"/>
      <c r="M15" s="29"/>
      <c r="N15" s="29"/>
      <c r="O15" s="29"/>
      <c r="P15" s="29"/>
      <c r="Q15" s="29" t="b">
        <v>1</v>
      </c>
      <c r="R15" s="30"/>
      <c r="S15" s="84" t="s">
        <v>69</v>
      </c>
      <c r="T15" s="84" t="s">
        <v>26</v>
      </c>
      <c r="U15" s="31" t="s">
        <v>70</v>
      </c>
      <c r="V15" s="32" t="s">
        <v>72</v>
      </c>
      <c r="W15" s="33"/>
      <c r="X15" s="17">
        <v>1</v>
      </c>
      <c r="Y15" s="17">
        <v>0</v>
      </c>
    </row>
    <row r="16" spans="1:25" ht="15.75" customHeight="1" x14ac:dyDescent="0.15">
      <c r="A16" s="15" t="s">
        <v>2056</v>
      </c>
      <c r="B16" s="26">
        <v>1</v>
      </c>
      <c r="C16" s="27" t="s">
        <v>2274</v>
      </c>
      <c r="D16" s="26">
        <v>3</v>
      </c>
      <c r="E16" s="28" t="s">
        <v>2284</v>
      </c>
      <c r="F16" s="29" t="b">
        <v>1</v>
      </c>
      <c r="G16" s="29" t="b">
        <v>1</v>
      </c>
      <c r="H16" s="30"/>
      <c r="I16" s="29"/>
      <c r="J16" s="29"/>
      <c r="K16" s="29"/>
      <c r="L16" s="29"/>
      <c r="M16" s="29"/>
      <c r="N16" s="29"/>
      <c r="O16" s="29"/>
      <c r="P16" s="29"/>
      <c r="Q16" s="29" t="b">
        <v>1</v>
      </c>
      <c r="R16" s="30"/>
      <c r="S16" s="84" t="s">
        <v>69</v>
      </c>
      <c r="T16" s="84" t="s">
        <v>26</v>
      </c>
      <c r="U16" s="31" t="s">
        <v>70</v>
      </c>
      <c r="V16" s="32" t="s">
        <v>72</v>
      </c>
      <c r="W16" s="33"/>
      <c r="X16" s="17">
        <v>1</v>
      </c>
      <c r="Y16" s="17">
        <v>0</v>
      </c>
    </row>
    <row r="17" spans="1:25" ht="15.75" customHeight="1" x14ac:dyDescent="0.15">
      <c r="A17" s="15" t="s">
        <v>2056</v>
      </c>
      <c r="B17" s="26">
        <v>1</v>
      </c>
      <c r="C17" s="27" t="s">
        <v>2274</v>
      </c>
      <c r="D17" s="26">
        <v>4</v>
      </c>
      <c r="E17" s="28" t="s">
        <v>2291</v>
      </c>
      <c r="F17" s="29" t="b">
        <v>1</v>
      </c>
      <c r="G17" s="29" t="b">
        <v>1</v>
      </c>
      <c r="H17" s="30"/>
      <c r="I17" s="29"/>
      <c r="J17" s="29"/>
      <c r="K17" s="29"/>
      <c r="L17" s="29"/>
      <c r="M17" s="29" t="b">
        <v>1</v>
      </c>
      <c r="N17" s="29"/>
      <c r="O17" s="29"/>
      <c r="P17" s="29"/>
      <c r="Q17" s="29" t="b">
        <v>1</v>
      </c>
      <c r="R17" s="30"/>
      <c r="S17" s="84" t="s">
        <v>69</v>
      </c>
      <c r="T17" s="84" t="s">
        <v>26</v>
      </c>
      <c r="U17" s="31" t="s">
        <v>70</v>
      </c>
      <c r="V17" s="32" t="s">
        <v>72</v>
      </c>
      <c r="W17" s="33"/>
      <c r="X17" s="17">
        <v>1</v>
      </c>
      <c r="Y17" s="17">
        <v>0</v>
      </c>
    </row>
    <row r="18" spans="1:25" ht="15.75" customHeight="1" x14ac:dyDescent="0.15">
      <c r="A18" s="15" t="s">
        <v>2056</v>
      </c>
      <c r="B18" s="26">
        <v>1</v>
      </c>
      <c r="C18" s="27" t="s">
        <v>2274</v>
      </c>
      <c r="D18" s="26">
        <v>4</v>
      </c>
      <c r="E18" s="28" t="s">
        <v>2292</v>
      </c>
      <c r="F18" s="29" t="b">
        <v>1</v>
      </c>
      <c r="G18" s="29" t="b">
        <v>1</v>
      </c>
      <c r="H18" s="30"/>
      <c r="I18" s="29" t="b">
        <v>1</v>
      </c>
      <c r="J18" s="29"/>
      <c r="K18" s="29"/>
      <c r="L18" s="29"/>
      <c r="M18" s="29"/>
      <c r="N18" s="29"/>
      <c r="O18" s="29"/>
      <c r="P18" s="29"/>
      <c r="Q18" s="29" t="b">
        <v>1</v>
      </c>
      <c r="R18" s="30"/>
      <c r="S18" s="84" t="s">
        <v>69</v>
      </c>
      <c r="T18" s="84" t="s">
        <v>26</v>
      </c>
      <c r="U18" s="31" t="s">
        <v>70</v>
      </c>
      <c r="V18" s="32" t="s">
        <v>72</v>
      </c>
      <c r="W18" s="33"/>
      <c r="X18" s="17">
        <v>1</v>
      </c>
      <c r="Y18" s="17">
        <v>0</v>
      </c>
    </row>
    <row r="19" spans="1:25" ht="15.75" customHeight="1" x14ac:dyDescent="0.15">
      <c r="A19" s="15" t="s">
        <v>2056</v>
      </c>
      <c r="B19" s="26">
        <v>1</v>
      </c>
      <c r="C19" s="27" t="s">
        <v>2274</v>
      </c>
      <c r="D19" s="26">
        <v>4</v>
      </c>
      <c r="E19" s="28" t="s">
        <v>2293</v>
      </c>
      <c r="F19" s="29" t="b">
        <v>1</v>
      </c>
      <c r="G19" s="29" t="b">
        <v>1</v>
      </c>
      <c r="H19" s="30"/>
      <c r="I19" s="29" t="b">
        <v>1</v>
      </c>
      <c r="J19" s="29"/>
      <c r="K19" s="29"/>
      <c r="L19" s="29"/>
      <c r="M19" s="29"/>
      <c r="N19" s="29"/>
      <c r="O19" s="29"/>
      <c r="P19" s="29"/>
      <c r="Q19" s="29" t="b">
        <v>1</v>
      </c>
      <c r="R19" s="30"/>
      <c r="S19" s="84" t="s">
        <v>69</v>
      </c>
      <c r="T19" s="84" t="s">
        <v>26</v>
      </c>
      <c r="U19" s="31" t="s">
        <v>70</v>
      </c>
      <c r="V19" s="32" t="s">
        <v>72</v>
      </c>
      <c r="W19" s="33"/>
      <c r="X19" s="17">
        <v>1</v>
      </c>
      <c r="Y19" s="17">
        <v>0</v>
      </c>
    </row>
    <row r="20" spans="1:25" ht="15.75" customHeight="1" x14ac:dyDescent="0.15">
      <c r="A20" s="15" t="s">
        <v>2056</v>
      </c>
      <c r="B20" s="26">
        <v>1</v>
      </c>
      <c r="C20" s="27" t="s">
        <v>2274</v>
      </c>
      <c r="D20" s="26">
        <v>4</v>
      </c>
      <c r="E20" s="28" t="s">
        <v>2290</v>
      </c>
      <c r="F20" s="29" t="b">
        <v>1</v>
      </c>
      <c r="G20" s="29" t="b">
        <v>1</v>
      </c>
      <c r="H20" s="30"/>
      <c r="I20" s="29"/>
      <c r="J20" s="29"/>
      <c r="K20" s="29"/>
      <c r="L20" s="29"/>
      <c r="M20" s="29" t="b">
        <v>1</v>
      </c>
      <c r="N20" s="29"/>
      <c r="O20" s="29"/>
      <c r="P20" s="29"/>
      <c r="Q20" s="29" t="b">
        <v>1</v>
      </c>
      <c r="R20" s="30"/>
      <c r="S20" s="84" t="s">
        <v>69</v>
      </c>
      <c r="T20" s="84" t="s">
        <v>26</v>
      </c>
      <c r="U20" s="31" t="s">
        <v>70</v>
      </c>
      <c r="V20" s="32" t="s">
        <v>72</v>
      </c>
      <c r="W20" s="33"/>
      <c r="X20" s="17">
        <v>1</v>
      </c>
      <c r="Y20" s="17">
        <v>0</v>
      </c>
    </row>
    <row r="21" spans="1:25" ht="15.75" customHeight="1" x14ac:dyDescent="0.15">
      <c r="A21" s="15" t="s">
        <v>2056</v>
      </c>
      <c r="B21" s="26">
        <v>1</v>
      </c>
      <c r="C21" s="27" t="s">
        <v>2274</v>
      </c>
      <c r="D21" s="26">
        <v>4</v>
      </c>
      <c r="E21" s="28" t="s">
        <v>2289</v>
      </c>
      <c r="F21" s="29" t="b">
        <v>1</v>
      </c>
      <c r="G21" s="29" t="b">
        <v>1</v>
      </c>
      <c r="H21" s="30"/>
      <c r="I21" s="29"/>
      <c r="J21" s="29"/>
      <c r="K21" s="29"/>
      <c r="L21" s="29"/>
      <c r="M21" s="29"/>
      <c r="N21" s="29"/>
      <c r="O21" s="29"/>
      <c r="P21" s="29"/>
      <c r="Q21" s="29" t="b">
        <v>1</v>
      </c>
      <c r="R21" s="30"/>
      <c r="S21" s="84" t="s">
        <v>69</v>
      </c>
      <c r="T21" s="84" t="s">
        <v>26</v>
      </c>
      <c r="U21" s="31" t="s">
        <v>70</v>
      </c>
      <c r="V21" s="32" t="s">
        <v>72</v>
      </c>
      <c r="W21" s="33"/>
      <c r="X21" s="17">
        <v>1</v>
      </c>
      <c r="Y21" s="17">
        <v>0</v>
      </c>
    </row>
    <row r="22" spans="1:25" ht="15.75" customHeight="1" x14ac:dyDescent="0.15">
      <c r="A22" s="15" t="s">
        <v>2056</v>
      </c>
      <c r="B22" s="26">
        <v>1</v>
      </c>
      <c r="C22" s="27" t="s">
        <v>2274</v>
      </c>
      <c r="D22" s="26">
        <v>5</v>
      </c>
      <c r="E22" s="28" t="s">
        <v>2296</v>
      </c>
      <c r="F22" s="29" t="b">
        <v>1</v>
      </c>
      <c r="G22" s="29" t="b">
        <v>1</v>
      </c>
      <c r="H22" s="30"/>
      <c r="I22" s="29" t="b">
        <v>1</v>
      </c>
      <c r="J22" s="29"/>
      <c r="K22" s="29"/>
      <c r="L22" s="29" t="b">
        <v>1</v>
      </c>
      <c r="M22" s="29"/>
      <c r="N22" s="29"/>
      <c r="O22" s="29"/>
      <c r="P22" s="29"/>
      <c r="Q22" s="29" t="b">
        <v>1</v>
      </c>
      <c r="R22" s="30"/>
      <c r="S22" s="84" t="s">
        <v>69</v>
      </c>
      <c r="T22" s="84" t="s">
        <v>26</v>
      </c>
      <c r="U22" s="31" t="s">
        <v>70</v>
      </c>
      <c r="V22" s="32" t="s">
        <v>72</v>
      </c>
      <c r="W22" s="33"/>
      <c r="X22" s="17">
        <v>1</v>
      </c>
      <c r="Y22" s="17">
        <v>0</v>
      </c>
    </row>
    <row r="23" spans="1:25" ht="15.75" customHeight="1" x14ac:dyDescent="0.15">
      <c r="A23" s="15" t="s">
        <v>2056</v>
      </c>
      <c r="B23" s="26">
        <v>1</v>
      </c>
      <c r="C23" s="27" t="s">
        <v>2274</v>
      </c>
      <c r="D23" s="26">
        <v>5</v>
      </c>
      <c r="E23" s="28" t="s">
        <v>2294</v>
      </c>
      <c r="F23" s="29" t="b">
        <v>1</v>
      </c>
      <c r="G23" s="29" t="b">
        <v>1</v>
      </c>
      <c r="H23" s="30"/>
      <c r="I23" s="29" t="b">
        <v>1</v>
      </c>
      <c r="J23" s="29"/>
      <c r="K23" s="29"/>
      <c r="L23" s="29"/>
      <c r="M23" s="29"/>
      <c r="N23" s="29"/>
      <c r="O23" s="29"/>
      <c r="P23" s="29"/>
      <c r="Q23" s="29" t="b">
        <v>1</v>
      </c>
      <c r="R23" s="30"/>
      <c r="S23" s="84"/>
      <c r="T23" s="84" t="s">
        <v>26</v>
      </c>
      <c r="U23" s="31" t="s">
        <v>70</v>
      </c>
      <c r="V23" s="32"/>
      <c r="W23" s="33"/>
      <c r="X23" s="17">
        <v>1</v>
      </c>
      <c r="Y23" s="17">
        <v>0</v>
      </c>
    </row>
    <row r="24" spans="1:25" ht="15.75" customHeight="1" x14ac:dyDescent="0.15">
      <c r="A24" s="15" t="s">
        <v>2056</v>
      </c>
      <c r="B24" s="26">
        <v>1</v>
      </c>
      <c r="C24" s="27" t="s">
        <v>2274</v>
      </c>
      <c r="D24" s="26">
        <v>5</v>
      </c>
      <c r="E24" s="28" t="s">
        <v>2295</v>
      </c>
      <c r="F24" s="29" t="b">
        <v>1</v>
      </c>
      <c r="G24" s="29" t="b">
        <v>1</v>
      </c>
      <c r="H24" s="30"/>
      <c r="I24" s="29" t="b">
        <v>1</v>
      </c>
      <c r="J24" s="29"/>
      <c r="K24" s="29"/>
      <c r="L24" s="29"/>
      <c r="M24" s="29"/>
      <c r="N24" s="29"/>
      <c r="O24" s="29"/>
      <c r="P24" s="29"/>
      <c r="Q24" s="29" t="b">
        <v>1</v>
      </c>
      <c r="R24" s="30"/>
      <c r="S24" s="84"/>
      <c r="T24" s="84" t="s">
        <v>26</v>
      </c>
      <c r="U24" s="31" t="s">
        <v>70</v>
      </c>
      <c r="V24" s="32"/>
      <c r="W24" s="33"/>
      <c r="X24" s="17">
        <v>1</v>
      </c>
      <c r="Y24" s="17">
        <v>0</v>
      </c>
    </row>
    <row r="25" spans="1:25" ht="15.75" customHeight="1" x14ac:dyDescent="0.15">
      <c r="A25" s="15" t="s">
        <v>2056</v>
      </c>
      <c r="B25" s="26">
        <v>2</v>
      </c>
      <c r="C25" s="27" t="s">
        <v>73</v>
      </c>
      <c r="D25" s="26">
        <v>1</v>
      </c>
      <c r="E25" s="28" t="s">
        <v>2095</v>
      </c>
      <c r="F25" s="29" t="b">
        <v>1</v>
      </c>
      <c r="G25" s="29" t="b">
        <v>1</v>
      </c>
      <c r="H25" s="30" t="b">
        <v>1</v>
      </c>
      <c r="I25" s="29"/>
      <c r="J25" s="29"/>
      <c r="K25" s="29" t="b">
        <v>1</v>
      </c>
      <c r="L25" s="29"/>
      <c r="M25" s="29"/>
      <c r="N25" s="29"/>
      <c r="O25" s="29"/>
      <c r="P25" s="29"/>
      <c r="Q25" s="29"/>
      <c r="R25" s="30"/>
      <c r="S25" s="84"/>
      <c r="T25" s="84" t="s">
        <v>26</v>
      </c>
      <c r="U25" s="31" t="s">
        <v>70</v>
      </c>
      <c r="V25" s="32"/>
      <c r="W25" s="33"/>
      <c r="X25" s="17">
        <v>0</v>
      </c>
      <c r="Y25" s="17">
        <v>0</v>
      </c>
    </row>
    <row r="26" spans="1:25" ht="15.75" customHeight="1" x14ac:dyDescent="0.15">
      <c r="A26" s="15" t="s">
        <v>2056</v>
      </c>
      <c r="B26" s="26">
        <v>2</v>
      </c>
      <c r="C26" s="27" t="s">
        <v>73</v>
      </c>
      <c r="D26" s="26">
        <v>1</v>
      </c>
      <c r="E26" s="28" t="s">
        <v>2096</v>
      </c>
      <c r="F26" s="29" t="b">
        <v>1</v>
      </c>
      <c r="G26" s="29" t="b">
        <v>1</v>
      </c>
      <c r="H26" s="30" t="b">
        <v>1</v>
      </c>
      <c r="I26" s="29"/>
      <c r="J26" s="29"/>
      <c r="K26" s="29" t="b">
        <v>1</v>
      </c>
      <c r="L26" s="29"/>
      <c r="M26" s="29"/>
      <c r="N26" s="29"/>
      <c r="O26" s="29"/>
      <c r="P26" s="29"/>
      <c r="Q26" s="29"/>
      <c r="R26" s="30"/>
      <c r="S26" s="84" t="s">
        <v>69</v>
      </c>
      <c r="T26" s="84" t="s">
        <v>26</v>
      </c>
      <c r="U26" s="31" t="s">
        <v>70</v>
      </c>
      <c r="V26" s="32" t="s">
        <v>72</v>
      </c>
      <c r="W26" s="33"/>
      <c r="X26" s="17">
        <v>0</v>
      </c>
      <c r="Y26" s="17">
        <v>0</v>
      </c>
    </row>
    <row r="27" spans="1:25" ht="15.75" customHeight="1" x14ac:dyDescent="0.15">
      <c r="A27" s="15" t="s">
        <v>2056</v>
      </c>
      <c r="B27" s="26">
        <v>2</v>
      </c>
      <c r="C27" s="27" t="s">
        <v>73</v>
      </c>
      <c r="D27" s="26">
        <v>1</v>
      </c>
      <c r="E27" s="28" t="s">
        <v>2093</v>
      </c>
      <c r="F27" s="29" t="b">
        <v>1</v>
      </c>
      <c r="G27" s="29" t="b">
        <v>1</v>
      </c>
      <c r="H27" s="30" t="b">
        <v>1</v>
      </c>
      <c r="I27" s="29"/>
      <c r="J27" s="29"/>
      <c r="K27" s="29" t="b">
        <v>1</v>
      </c>
      <c r="L27" s="29"/>
      <c r="M27" s="29"/>
      <c r="N27" s="29"/>
      <c r="O27" s="29"/>
      <c r="P27" s="29"/>
      <c r="Q27" s="29"/>
      <c r="R27" s="30"/>
      <c r="S27" s="84" t="s">
        <v>69</v>
      </c>
      <c r="T27" s="84" t="s">
        <v>26</v>
      </c>
      <c r="U27" s="31" t="s">
        <v>70</v>
      </c>
      <c r="V27" s="32" t="s">
        <v>72</v>
      </c>
      <c r="W27" s="33"/>
      <c r="X27" s="17">
        <v>0</v>
      </c>
      <c r="Y27" s="17">
        <v>0</v>
      </c>
    </row>
    <row r="28" spans="1:25" ht="15.75" customHeight="1" x14ac:dyDescent="0.15">
      <c r="A28" s="15" t="s">
        <v>2056</v>
      </c>
      <c r="B28" s="26">
        <v>2</v>
      </c>
      <c r="C28" s="27" t="s">
        <v>73</v>
      </c>
      <c r="D28" s="26">
        <v>2</v>
      </c>
      <c r="E28" s="28" t="s">
        <v>2097</v>
      </c>
      <c r="F28" s="29" t="b">
        <v>1</v>
      </c>
      <c r="G28" s="29" t="b">
        <v>1</v>
      </c>
      <c r="H28" s="30" t="b">
        <v>1</v>
      </c>
      <c r="I28" s="29"/>
      <c r="J28" s="29"/>
      <c r="K28" s="29" t="b">
        <v>1</v>
      </c>
      <c r="L28" s="29"/>
      <c r="M28" s="29"/>
      <c r="N28" s="29"/>
      <c r="O28" s="29"/>
      <c r="P28" s="29"/>
      <c r="Q28" s="29"/>
      <c r="R28" s="30"/>
      <c r="S28" s="84" t="s">
        <v>69</v>
      </c>
      <c r="T28" s="84" t="s">
        <v>26</v>
      </c>
      <c r="U28" s="31" t="s">
        <v>70</v>
      </c>
      <c r="V28" s="32" t="s">
        <v>72</v>
      </c>
      <c r="W28" s="33"/>
      <c r="X28" s="17">
        <v>0</v>
      </c>
      <c r="Y28" s="17">
        <v>0</v>
      </c>
    </row>
    <row r="29" spans="1:25" ht="15.75" customHeight="1" x14ac:dyDescent="0.15">
      <c r="A29" s="15" t="s">
        <v>2056</v>
      </c>
      <c r="B29" s="26">
        <v>2</v>
      </c>
      <c r="C29" s="27" t="s">
        <v>73</v>
      </c>
      <c r="D29" s="26">
        <v>2</v>
      </c>
      <c r="E29" s="28" t="s">
        <v>2098</v>
      </c>
      <c r="F29" s="29" t="b">
        <v>1</v>
      </c>
      <c r="G29" s="29" t="b">
        <v>1</v>
      </c>
      <c r="H29" s="30" t="b">
        <v>1</v>
      </c>
      <c r="I29" s="29"/>
      <c r="J29" s="29"/>
      <c r="K29" s="29" t="b">
        <v>1</v>
      </c>
      <c r="L29" s="29"/>
      <c r="M29" s="29"/>
      <c r="N29" s="29"/>
      <c r="O29" s="29"/>
      <c r="P29" s="29"/>
      <c r="Q29" s="29"/>
      <c r="R29" s="30"/>
      <c r="S29" s="84" t="s">
        <v>69</v>
      </c>
      <c r="T29" s="84" t="s">
        <v>26</v>
      </c>
      <c r="U29" s="31" t="s">
        <v>70</v>
      </c>
      <c r="V29" s="32" t="s">
        <v>72</v>
      </c>
      <c r="W29" s="33"/>
      <c r="X29" s="17">
        <v>0</v>
      </c>
      <c r="Y29" s="17">
        <v>0</v>
      </c>
    </row>
    <row r="30" spans="1:25" ht="15.75" customHeight="1" x14ac:dyDescent="0.15">
      <c r="A30" s="15" t="s">
        <v>2056</v>
      </c>
      <c r="B30" s="26">
        <v>2</v>
      </c>
      <c r="C30" s="27" t="s">
        <v>73</v>
      </c>
      <c r="D30" s="26">
        <v>3</v>
      </c>
      <c r="E30" s="28" t="s">
        <v>2100</v>
      </c>
      <c r="F30" s="29" t="b">
        <v>1</v>
      </c>
      <c r="G30" s="29" t="b">
        <v>1</v>
      </c>
      <c r="H30" s="30" t="b">
        <v>1</v>
      </c>
      <c r="I30" s="29"/>
      <c r="J30" s="29"/>
      <c r="K30" s="29" t="b">
        <v>1</v>
      </c>
      <c r="L30" s="29"/>
      <c r="M30" s="29"/>
      <c r="N30" s="29"/>
      <c r="O30" s="29"/>
      <c r="P30" s="29"/>
      <c r="Q30" s="29"/>
      <c r="R30" s="30"/>
      <c r="S30" s="84" t="s">
        <v>69</v>
      </c>
      <c r="T30" s="84" t="s">
        <v>26</v>
      </c>
      <c r="U30" s="31" t="s">
        <v>70</v>
      </c>
      <c r="V30" s="32" t="s">
        <v>72</v>
      </c>
      <c r="W30" s="33"/>
      <c r="X30" s="17">
        <v>0</v>
      </c>
      <c r="Y30" s="17">
        <v>0</v>
      </c>
    </row>
    <row r="31" spans="1:25" ht="15.75" customHeight="1" x14ac:dyDescent="0.15">
      <c r="A31" s="15" t="s">
        <v>2056</v>
      </c>
      <c r="B31" s="26">
        <v>2</v>
      </c>
      <c r="C31" s="27" t="s">
        <v>73</v>
      </c>
      <c r="D31" s="26">
        <v>3</v>
      </c>
      <c r="E31" s="28" t="s">
        <v>2099</v>
      </c>
      <c r="F31" s="29" t="b">
        <v>1</v>
      </c>
      <c r="G31" s="29" t="b">
        <v>1</v>
      </c>
      <c r="H31" s="30" t="b">
        <v>1</v>
      </c>
      <c r="I31" s="29"/>
      <c r="J31" s="29"/>
      <c r="K31" s="29" t="b">
        <v>1</v>
      </c>
      <c r="L31" s="29"/>
      <c r="M31" s="29"/>
      <c r="N31" s="29"/>
      <c r="O31" s="29"/>
      <c r="P31" s="29"/>
      <c r="Q31" s="29"/>
      <c r="R31" s="30"/>
      <c r="S31" s="84" t="s">
        <v>69</v>
      </c>
      <c r="T31" s="84" t="s">
        <v>26</v>
      </c>
      <c r="U31" s="31" t="s">
        <v>70</v>
      </c>
      <c r="V31" s="32" t="s">
        <v>72</v>
      </c>
      <c r="W31" s="33"/>
      <c r="X31" s="17">
        <v>0</v>
      </c>
      <c r="Y31" s="17">
        <v>0</v>
      </c>
    </row>
    <row r="32" spans="1:25" ht="15.75" customHeight="1" x14ac:dyDescent="0.15">
      <c r="A32" s="26" t="s">
        <v>2056</v>
      </c>
      <c r="B32" s="26">
        <v>2</v>
      </c>
      <c r="C32" s="27" t="s">
        <v>73</v>
      </c>
      <c r="D32" s="26">
        <v>4</v>
      </c>
      <c r="E32" s="27" t="s">
        <v>2103</v>
      </c>
      <c r="F32" s="34" t="b">
        <v>1</v>
      </c>
      <c r="G32" s="29" t="b">
        <v>1</v>
      </c>
      <c r="H32" s="30" t="b">
        <v>1</v>
      </c>
      <c r="I32" s="34"/>
      <c r="J32" s="29"/>
      <c r="K32" s="29" t="b">
        <v>1</v>
      </c>
      <c r="L32" s="29"/>
      <c r="M32" s="29"/>
      <c r="N32" s="29"/>
      <c r="O32" s="29"/>
      <c r="P32" s="29"/>
      <c r="Q32" s="29"/>
      <c r="R32" s="30"/>
      <c r="S32" s="84" t="s">
        <v>69</v>
      </c>
      <c r="T32" s="84" t="s">
        <v>26</v>
      </c>
      <c r="U32" s="31"/>
      <c r="V32" s="32" t="s">
        <v>72</v>
      </c>
      <c r="W32" s="35"/>
      <c r="X32" s="17">
        <v>0</v>
      </c>
      <c r="Y32" s="19">
        <v>0</v>
      </c>
    </row>
    <row r="33" spans="1:25" ht="15.75" customHeight="1" x14ac:dyDescent="0.15">
      <c r="A33" s="26" t="s">
        <v>2056</v>
      </c>
      <c r="B33" s="26">
        <v>2</v>
      </c>
      <c r="C33" s="27" t="s">
        <v>73</v>
      </c>
      <c r="D33" s="26">
        <v>4</v>
      </c>
      <c r="E33" s="27" t="s">
        <v>2101</v>
      </c>
      <c r="F33" s="34" t="b">
        <v>1</v>
      </c>
      <c r="G33" s="29" t="b">
        <v>1</v>
      </c>
      <c r="H33" s="30" t="b">
        <v>1</v>
      </c>
      <c r="I33" s="34"/>
      <c r="J33" s="29"/>
      <c r="K33" s="29" t="b">
        <v>1</v>
      </c>
      <c r="L33" s="29"/>
      <c r="M33" s="29"/>
      <c r="N33" s="29"/>
      <c r="O33" s="29"/>
      <c r="P33" s="29"/>
      <c r="Q33" s="29"/>
      <c r="R33" s="30"/>
      <c r="S33" s="84" t="s">
        <v>29</v>
      </c>
      <c r="T33" s="84" t="s">
        <v>26</v>
      </c>
      <c r="U33" s="31"/>
      <c r="V33" s="32" t="s">
        <v>72</v>
      </c>
      <c r="W33" s="35"/>
      <c r="X33" s="17">
        <v>0</v>
      </c>
      <c r="Y33" s="19">
        <v>0</v>
      </c>
    </row>
    <row r="34" spans="1:25" ht="15.75" customHeight="1" x14ac:dyDescent="0.15">
      <c r="A34" s="26" t="s">
        <v>2056</v>
      </c>
      <c r="B34" s="26">
        <v>2</v>
      </c>
      <c r="C34" s="27" t="s">
        <v>73</v>
      </c>
      <c r="D34" s="26">
        <v>4</v>
      </c>
      <c r="E34" s="27" t="s">
        <v>2104</v>
      </c>
      <c r="F34" s="34" t="b">
        <v>1</v>
      </c>
      <c r="G34" s="29" t="b">
        <v>1</v>
      </c>
      <c r="H34" s="30" t="b">
        <v>1</v>
      </c>
      <c r="I34" s="34"/>
      <c r="J34" s="29"/>
      <c r="K34" s="29" t="b">
        <v>1</v>
      </c>
      <c r="L34" s="29"/>
      <c r="M34" s="29"/>
      <c r="N34" s="29"/>
      <c r="O34" s="29"/>
      <c r="P34" s="29"/>
      <c r="Q34" s="29"/>
      <c r="R34" s="30"/>
      <c r="S34" s="84"/>
      <c r="T34" s="84" t="s">
        <v>26</v>
      </c>
      <c r="U34" s="31" t="s">
        <v>70</v>
      </c>
      <c r="V34" s="32" t="s">
        <v>72</v>
      </c>
      <c r="W34" s="35"/>
      <c r="X34" s="17">
        <v>0</v>
      </c>
      <c r="Y34" s="19">
        <v>0</v>
      </c>
    </row>
    <row r="35" spans="1:25" ht="15.75" customHeight="1" x14ac:dyDescent="0.15">
      <c r="A35" s="26" t="s">
        <v>2056</v>
      </c>
      <c r="B35" s="26">
        <v>2</v>
      </c>
      <c r="C35" s="27" t="s">
        <v>73</v>
      </c>
      <c r="D35" s="26">
        <v>4</v>
      </c>
      <c r="E35" s="27" t="s">
        <v>2102</v>
      </c>
      <c r="F35" s="34" t="b">
        <v>1</v>
      </c>
      <c r="G35" s="29" t="b">
        <v>1</v>
      </c>
      <c r="H35" s="30" t="b">
        <v>1</v>
      </c>
      <c r="I35" s="34"/>
      <c r="J35" s="29"/>
      <c r="K35" s="29" t="b">
        <v>1</v>
      </c>
      <c r="L35" s="29"/>
      <c r="M35" s="29"/>
      <c r="N35" s="29"/>
      <c r="O35" s="29"/>
      <c r="P35" s="29"/>
      <c r="Q35" s="29"/>
      <c r="R35" s="30"/>
      <c r="S35" s="84" t="s">
        <v>69</v>
      </c>
      <c r="T35" s="84" t="s">
        <v>26</v>
      </c>
      <c r="U35" s="31" t="s">
        <v>70</v>
      </c>
      <c r="V35" s="32" t="s">
        <v>72</v>
      </c>
      <c r="W35" s="35"/>
      <c r="X35" s="17">
        <v>0</v>
      </c>
      <c r="Y35" s="19">
        <v>0</v>
      </c>
    </row>
    <row r="36" spans="1:25" ht="15.75" customHeight="1" x14ac:dyDescent="0.15">
      <c r="A36" s="26" t="s">
        <v>2056</v>
      </c>
      <c r="B36" s="26">
        <v>2</v>
      </c>
      <c r="C36" s="27" t="s">
        <v>73</v>
      </c>
      <c r="D36" s="26">
        <v>5</v>
      </c>
      <c r="E36" s="27" t="s">
        <v>2105</v>
      </c>
      <c r="F36" s="34" t="b">
        <v>1</v>
      </c>
      <c r="G36" s="29" t="b">
        <v>1</v>
      </c>
      <c r="H36" s="30" t="b">
        <v>1</v>
      </c>
      <c r="I36" s="34"/>
      <c r="J36" s="29"/>
      <c r="K36" s="29" t="b">
        <v>1</v>
      </c>
      <c r="L36" s="29"/>
      <c r="M36" s="29"/>
      <c r="N36" s="29"/>
      <c r="O36" s="29"/>
      <c r="P36" s="29"/>
      <c r="Q36" s="29"/>
      <c r="R36" s="30"/>
      <c r="S36" s="84"/>
      <c r="T36" s="84"/>
      <c r="U36" s="31"/>
      <c r="V36" s="32"/>
      <c r="W36" s="35"/>
      <c r="X36" s="17">
        <v>0</v>
      </c>
      <c r="Y36" s="19">
        <v>0</v>
      </c>
    </row>
    <row r="37" spans="1:25" ht="15.75" customHeight="1" x14ac:dyDescent="0.15">
      <c r="A37" s="26" t="s">
        <v>2056</v>
      </c>
      <c r="B37" s="26">
        <v>2</v>
      </c>
      <c r="C37" s="27" t="s">
        <v>73</v>
      </c>
      <c r="D37" s="26">
        <v>5</v>
      </c>
      <c r="E37" s="27" t="s">
        <v>2107</v>
      </c>
      <c r="F37" s="34" t="b">
        <v>1</v>
      </c>
      <c r="G37" s="29" t="b">
        <v>1</v>
      </c>
      <c r="H37" s="30" t="b">
        <v>1</v>
      </c>
      <c r="I37" s="34"/>
      <c r="J37" s="29"/>
      <c r="K37" s="29" t="b">
        <v>1</v>
      </c>
      <c r="L37" s="29"/>
      <c r="M37" s="29"/>
      <c r="N37" s="29"/>
      <c r="O37" s="29"/>
      <c r="P37" s="29"/>
      <c r="Q37" s="29"/>
      <c r="R37" s="30"/>
      <c r="S37" s="84" t="s">
        <v>73</v>
      </c>
      <c r="T37" s="84" t="s">
        <v>74</v>
      </c>
      <c r="U37" s="36" t="s">
        <v>75</v>
      </c>
      <c r="V37" s="37" t="s">
        <v>76</v>
      </c>
      <c r="W37" s="35"/>
      <c r="X37" s="17">
        <v>0</v>
      </c>
      <c r="Y37" s="19">
        <v>0</v>
      </c>
    </row>
    <row r="38" spans="1:25" ht="15.75" customHeight="1" x14ac:dyDescent="0.15">
      <c r="A38" s="26" t="s">
        <v>2056</v>
      </c>
      <c r="B38" s="26">
        <v>2</v>
      </c>
      <c r="C38" s="27" t="s">
        <v>73</v>
      </c>
      <c r="D38" s="26">
        <v>5</v>
      </c>
      <c r="E38" s="27" t="s">
        <v>2106</v>
      </c>
      <c r="F38" s="34" t="b">
        <v>1</v>
      </c>
      <c r="G38" s="29" t="b">
        <v>1</v>
      </c>
      <c r="H38" s="30" t="b">
        <v>1</v>
      </c>
      <c r="I38" s="34"/>
      <c r="J38" s="29"/>
      <c r="K38" s="29" t="b">
        <v>1</v>
      </c>
      <c r="L38" s="29"/>
      <c r="M38" s="29"/>
      <c r="N38" s="29"/>
      <c r="O38" s="29"/>
      <c r="P38" s="29"/>
      <c r="Q38" s="29"/>
      <c r="R38" s="30"/>
      <c r="S38" s="84" t="s">
        <v>73</v>
      </c>
      <c r="T38" s="84" t="s">
        <v>77</v>
      </c>
      <c r="U38" s="31" t="s">
        <v>75</v>
      </c>
      <c r="V38" s="32" t="s">
        <v>78</v>
      </c>
      <c r="W38" s="35"/>
      <c r="X38" s="17">
        <v>0</v>
      </c>
      <c r="Y38" s="19">
        <v>0</v>
      </c>
    </row>
    <row r="39" spans="1:25" ht="15.75" customHeight="1" x14ac:dyDescent="0.15">
      <c r="A39" s="26" t="s">
        <v>2056</v>
      </c>
      <c r="B39" s="26">
        <v>2</v>
      </c>
      <c r="C39" s="27" t="s">
        <v>73</v>
      </c>
      <c r="D39" s="26">
        <v>6</v>
      </c>
      <c r="E39" s="27" t="s">
        <v>2110</v>
      </c>
      <c r="F39" s="34" t="b">
        <v>1</v>
      </c>
      <c r="G39" s="29" t="b">
        <v>1</v>
      </c>
      <c r="H39" s="30" t="b">
        <v>1</v>
      </c>
      <c r="I39" s="34"/>
      <c r="J39" s="29"/>
      <c r="K39" s="29" t="b">
        <v>1</v>
      </c>
      <c r="L39" s="29"/>
      <c r="M39" s="29"/>
      <c r="N39" s="29"/>
      <c r="O39" s="29"/>
      <c r="P39" s="29"/>
      <c r="Q39" s="29"/>
      <c r="R39" s="30"/>
      <c r="S39" s="84" t="s">
        <v>73</v>
      </c>
      <c r="T39" s="84" t="s">
        <v>74</v>
      </c>
      <c r="U39" s="31" t="s">
        <v>75</v>
      </c>
      <c r="V39" s="32" t="s">
        <v>79</v>
      </c>
      <c r="W39" s="35"/>
      <c r="X39" s="17">
        <v>0</v>
      </c>
      <c r="Y39" s="19">
        <v>0</v>
      </c>
    </row>
    <row r="40" spans="1:25" ht="15.75" customHeight="1" x14ac:dyDescent="0.15">
      <c r="A40" s="26" t="s">
        <v>2056</v>
      </c>
      <c r="B40" s="26">
        <v>2</v>
      </c>
      <c r="C40" s="27" t="s">
        <v>73</v>
      </c>
      <c r="D40" s="26">
        <v>6</v>
      </c>
      <c r="E40" s="27" t="s">
        <v>2109</v>
      </c>
      <c r="F40" s="34" t="b">
        <v>1</v>
      </c>
      <c r="G40" s="29" t="b">
        <v>1</v>
      </c>
      <c r="H40" s="30" t="b">
        <v>1</v>
      </c>
      <c r="I40" s="34"/>
      <c r="J40" s="29"/>
      <c r="K40" s="29" t="b">
        <v>1</v>
      </c>
      <c r="L40" s="29"/>
      <c r="M40" s="29"/>
      <c r="N40" s="29"/>
      <c r="O40" s="29"/>
      <c r="P40" s="29"/>
      <c r="Q40" s="29"/>
      <c r="R40" s="30"/>
      <c r="S40" s="84" t="s">
        <v>73</v>
      </c>
      <c r="T40" s="84" t="s">
        <v>74</v>
      </c>
      <c r="U40" s="31" t="s">
        <v>75</v>
      </c>
      <c r="V40" s="32" t="s">
        <v>76</v>
      </c>
      <c r="W40" s="35"/>
      <c r="X40" s="17">
        <v>0</v>
      </c>
      <c r="Y40" s="19">
        <v>0</v>
      </c>
    </row>
    <row r="41" spans="1:25" ht="15.75" customHeight="1" x14ac:dyDescent="0.15">
      <c r="A41" s="26" t="s">
        <v>2056</v>
      </c>
      <c r="B41" s="26">
        <v>2</v>
      </c>
      <c r="C41" s="27" t="s">
        <v>73</v>
      </c>
      <c r="D41" s="26">
        <v>6</v>
      </c>
      <c r="E41" s="27" t="s">
        <v>2108</v>
      </c>
      <c r="F41" s="34" t="b">
        <v>1</v>
      </c>
      <c r="G41" s="29" t="b">
        <v>1</v>
      </c>
      <c r="H41" s="30" t="b">
        <v>1</v>
      </c>
      <c r="I41" s="34"/>
      <c r="J41" s="29"/>
      <c r="K41" s="29" t="b">
        <v>1</v>
      </c>
      <c r="L41" s="29"/>
      <c r="M41" s="29"/>
      <c r="N41" s="29"/>
      <c r="O41" s="29"/>
      <c r="P41" s="29"/>
      <c r="Q41" s="29"/>
      <c r="R41" s="30"/>
      <c r="S41" s="84" t="s">
        <v>73</v>
      </c>
      <c r="T41" s="84" t="s">
        <v>74</v>
      </c>
      <c r="U41" s="36" t="s">
        <v>75</v>
      </c>
      <c r="V41" s="37" t="s">
        <v>76</v>
      </c>
      <c r="W41" s="35"/>
      <c r="X41" s="17">
        <v>0</v>
      </c>
      <c r="Y41" s="19">
        <v>0</v>
      </c>
    </row>
    <row r="42" spans="1:25" ht="15.75" customHeight="1" x14ac:dyDescent="0.15">
      <c r="A42" s="26" t="s">
        <v>2056</v>
      </c>
      <c r="B42" s="26">
        <v>2</v>
      </c>
      <c r="C42" s="27" t="s">
        <v>73</v>
      </c>
      <c r="D42" s="26">
        <v>7</v>
      </c>
      <c r="E42" s="27" t="s">
        <v>2111</v>
      </c>
      <c r="F42" s="34" t="b">
        <v>1</v>
      </c>
      <c r="G42" s="29" t="b">
        <v>1</v>
      </c>
      <c r="H42" s="30" t="b">
        <v>1</v>
      </c>
      <c r="I42" s="34"/>
      <c r="J42" s="29"/>
      <c r="K42" s="29" t="b">
        <v>1</v>
      </c>
      <c r="L42" s="29"/>
      <c r="M42" s="29"/>
      <c r="N42" s="29"/>
      <c r="O42" s="29"/>
      <c r="P42" s="29"/>
      <c r="Q42" s="29"/>
      <c r="R42" s="30"/>
      <c r="S42" s="84" t="s">
        <v>73</v>
      </c>
      <c r="T42" s="84" t="s">
        <v>74</v>
      </c>
      <c r="U42" s="31" t="s">
        <v>75</v>
      </c>
      <c r="V42" s="32" t="s">
        <v>76</v>
      </c>
      <c r="W42" s="35"/>
      <c r="X42" s="17">
        <v>0</v>
      </c>
      <c r="Y42" s="19">
        <v>0</v>
      </c>
    </row>
    <row r="43" spans="1:25" ht="15.75" customHeight="1" x14ac:dyDescent="0.15">
      <c r="A43" s="26" t="s">
        <v>2056</v>
      </c>
      <c r="B43" s="26">
        <v>2</v>
      </c>
      <c r="C43" s="27" t="s">
        <v>73</v>
      </c>
      <c r="D43" s="26">
        <v>7</v>
      </c>
      <c r="E43" s="27" t="s">
        <v>2112</v>
      </c>
      <c r="F43" s="34" t="b">
        <v>1</v>
      </c>
      <c r="G43" s="29" t="b">
        <v>1</v>
      </c>
      <c r="H43" s="30" t="b">
        <v>1</v>
      </c>
      <c r="I43" s="34"/>
      <c r="J43" s="29"/>
      <c r="K43" s="29" t="b">
        <v>1</v>
      </c>
      <c r="L43" s="29"/>
      <c r="M43" s="29"/>
      <c r="N43" s="29"/>
      <c r="O43" s="29"/>
      <c r="P43" s="29"/>
      <c r="Q43" s="29"/>
      <c r="R43" s="30"/>
      <c r="S43" s="84" t="s">
        <v>73</v>
      </c>
      <c r="T43" s="84" t="s">
        <v>80</v>
      </c>
      <c r="U43" s="31" t="s">
        <v>75</v>
      </c>
      <c r="V43" s="32" t="s">
        <v>76</v>
      </c>
      <c r="W43" s="35"/>
      <c r="X43" s="17">
        <v>0</v>
      </c>
      <c r="Y43" s="19">
        <v>0</v>
      </c>
    </row>
    <row r="44" spans="1:25" ht="15.75" customHeight="1" x14ac:dyDescent="0.15">
      <c r="A44" s="26" t="s">
        <v>2056</v>
      </c>
      <c r="B44" s="26">
        <v>2</v>
      </c>
      <c r="C44" s="27" t="s">
        <v>73</v>
      </c>
      <c r="D44" s="26">
        <v>7</v>
      </c>
      <c r="E44" s="27" t="s">
        <v>2113</v>
      </c>
      <c r="F44" s="34" t="b">
        <v>1</v>
      </c>
      <c r="G44" s="29" t="b">
        <v>1</v>
      </c>
      <c r="H44" s="30" t="b">
        <v>1</v>
      </c>
      <c r="I44" s="34"/>
      <c r="J44" s="29"/>
      <c r="K44" s="29" t="b">
        <v>1</v>
      </c>
      <c r="L44" s="29"/>
      <c r="M44" s="29"/>
      <c r="N44" s="29"/>
      <c r="O44" s="29"/>
      <c r="P44" s="29" t="b">
        <v>1</v>
      </c>
      <c r="Q44" s="29"/>
      <c r="R44" s="30"/>
      <c r="S44" s="84" t="s">
        <v>73</v>
      </c>
      <c r="T44" s="84" t="s">
        <v>80</v>
      </c>
      <c r="U44" s="31" t="s">
        <v>75</v>
      </c>
      <c r="V44" s="32" t="s">
        <v>76</v>
      </c>
      <c r="W44" s="35"/>
      <c r="X44" s="17">
        <v>0</v>
      </c>
      <c r="Y44" s="19">
        <v>0</v>
      </c>
    </row>
    <row r="45" spans="1:25" ht="15.75" customHeight="1" x14ac:dyDescent="0.15">
      <c r="A45" s="26" t="s">
        <v>2056</v>
      </c>
      <c r="B45" s="26">
        <v>2</v>
      </c>
      <c r="C45" s="27" t="s">
        <v>73</v>
      </c>
      <c r="D45" s="26">
        <v>8</v>
      </c>
      <c r="E45" s="27" t="s">
        <v>2116</v>
      </c>
      <c r="F45" s="34" t="b">
        <v>1</v>
      </c>
      <c r="G45" s="29" t="b">
        <v>1</v>
      </c>
      <c r="H45" s="30" t="b">
        <v>1</v>
      </c>
      <c r="I45" s="34"/>
      <c r="J45" s="29"/>
      <c r="K45" s="29" t="b">
        <v>1</v>
      </c>
      <c r="L45" s="29" t="b">
        <v>1</v>
      </c>
      <c r="M45" s="29"/>
      <c r="N45" s="29"/>
      <c r="O45" s="29"/>
      <c r="P45" s="29"/>
      <c r="Q45" s="29"/>
      <c r="R45" s="30"/>
      <c r="S45" s="84" t="s">
        <v>73</v>
      </c>
      <c r="T45" s="84" t="s">
        <v>74</v>
      </c>
      <c r="U45" s="31" t="s">
        <v>75</v>
      </c>
      <c r="V45" s="32" t="s">
        <v>76</v>
      </c>
      <c r="W45" s="35"/>
      <c r="X45" s="17">
        <v>0</v>
      </c>
      <c r="Y45" s="19">
        <v>0</v>
      </c>
    </row>
    <row r="46" spans="1:25" ht="15.75" customHeight="1" x14ac:dyDescent="0.15">
      <c r="A46" s="26" t="s">
        <v>2056</v>
      </c>
      <c r="B46" s="26">
        <v>2</v>
      </c>
      <c r="C46" s="27" t="s">
        <v>73</v>
      </c>
      <c r="D46" s="26">
        <v>8</v>
      </c>
      <c r="E46" s="27" t="s">
        <v>2114</v>
      </c>
      <c r="F46" s="34" t="b">
        <v>1</v>
      </c>
      <c r="G46" s="29" t="b">
        <v>1</v>
      </c>
      <c r="H46" s="30" t="b">
        <v>1</v>
      </c>
      <c r="I46" s="34"/>
      <c r="J46" s="29"/>
      <c r="K46" s="29" t="b">
        <v>1</v>
      </c>
      <c r="L46" s="29"/>
      <c r="M46" s="29"/>
      <c r="N46" s="29"/>
      <c r="O46" s="29"/>
      <c r="P46" s="29"/>
      <c r="Q46" s="29"/>
      <c r="R46" s="30"/>
      <c r="S46" s="84" t="s">
        <v>73</v>
      </c>
      <c r="T46" s="84" t="s">
        <v>74</v>
      </c>
      <c r="U46" s="31" t="s">
        <v>75</v>
      </c>
      <c r="V46" s="32" t="s">
        <v>76</v>
      </c>
      <c r="W46" s="35"/>
      <c r="X46" s="17">
        <v>0</v>
      </c>
      <c r="Y46" s="19">
        <v>0</v>
      </c>
    </row>
    <row r="47" spans="1:25" ht="15.75" customHeight="1" x14ac:dyDescent="0.15">
      <c r="A47" s="26" t="s">
        <v>2056</v>
      </c>
      <c r="B47" s="26">
        <v>2</v>
      </c>
      <c r="C47" s="27" t="s">
        <v>73</v>
      </c>
      <c r="D47" s="26">
        <v>8</v>
      </c>
      <c r="E47" s="27" t="s">
        <v>2115</v>
      </c>
      <c r="F47" s="34" t="b">
        <v>1</v>
      </c>
      <c r="G47" s="29" t="b">
        <v>1</v>
      </c>
      <c r="H47" s="30" t="b">
        <v>1</v>
      </c>
      <c r="I47" s="34"/>
      <c r="J47" s="29"/>
      <c r="K47" s="29" t="b">
        <v>1</v>
      </c>
      <c r="L47" s="29" t="b">
        <v>1</v>
      </c>
      <c r="M47" s="29"/>
      <c r="N47" s="29"/>
      <c r="O47" s="29"/>
      <c r="P47" s="29"/>
      <c r="Q47" s="29"/>
      <c r="R47" s="30"/>
      <c r="S47" s="84" t="s">
        <v>73</v>
      </c>
      <c r="T47" s="84" t="s">
        <v>80</v>
      </c>
      <c r="U47" s="31" t="s">
        <v>75</v>
      </c>
      <c r="V47" s="32" t="s">
        <v>76</v>
      </c>
      <c r="W47" s="35"/>
      <c r="X47" s="17">
        <v>0</v>
      </c>
      <c r="Y47" s="19">
        <v>0</v>
      </c>
    </row>
    <row r="48" spans="1:25" ht="15.75" customHeight="1" x14ac:dyDescent="0.15">
      <c r="A48" s="26" t="s">
        <v>2056</v>
      </c>
      <c r="B48" s="26">
        <v>2</v>
      </c>
      <c r="C48" s="27" t="s">
        <v>73</v>
      </c>
      <c r="D48" s="26">
        <v>9</v>
      </c>
      <c r="E48" s="27" t="s">
        <v>2118</v>
      </c>
      <c r="F48" s="34" t="b">
        <v>1</v>
      </c>
      <c r="G48" s="29" t="b">
        <v>1</v>
      </c>
      <c r="H48" s="30" t="b">
        <v>1</v>
      </c>
      <c r="I48" s="34"/>
      <c r="J48" s="29"/>
      <c r="K48" s="29" t="b">
        <v>1</v>
      </c>
      <c r="L48" s="29" t="b">
        <v>1</v>
      </c>
      <c r="M48" s="29"/>
      <c r="N48" s="29"/>
      <c r="O48" s="29"/>
      <c r="P48" s="29"/>
      <c r="Q48" s="29"/>
      <c r="R48" s="30"/>
      <c r="S48" s="84" t="s">
        <v>73</v>
      </c>
      <c r="T48" s="84" t="s">
        <v>80</v>
      </c>
      <c r="U48" s="31" t="s">
        <v>75</v>
      </c>
      <c r="V48" s="32" t="s">
        <v>76</v>
      </c>
      <c r="W48" s="35"/>
      <c r="X48" s="17">
        <v>0</v>
      </c>
      <c r="Y48" s="19">
        <v>0</v>
      </c>
    </row>
    <row r="49" spans="1:25" ht="15.75" customHeight="1" x14ac:dyDescent="0.15">
      <c r="A49" s="26" t="s">
        <v>2056</v>
      </c>
      <c r="B49" s="26">
        <v>2</v>
      </c>
      <c r="C49" s="27" t="s">
        <v>73</v>
      </c>
      <c r="D49" s="26">
        <v>9</v>
      </c>
      <c r="E49" s="27" t="s">
        <v>2117</v>
      </c>
      <c r="F49" s="34" t="b">
        <v>1</v>
      </c>
      <c r="G49" s="29" t="b">
        <v>1</v>
      </c>
      <c r="H49" s="30" t="b">
        <v>1</v>
      </c>
      <c r="I49" s="34"/>
      <c r="J49" s="29"/>
      <c r="K49" s="29" t="b">
        <v>1</v>
      </c>
      <c r="L49" s="29"/>
      <c r="M49" s="29"/>
      <c r="N49" s="29"/>
      <c r="O49" s="29"/>
      <c r="P49" s="29"/>
      <c r="Q49" s="29"/>
      <c r="R49" s="30"/>
      <c r="S49" s="84" t="s">
        <v>73</v>
      </c>
      <c r="T49" s="84" t="s">
        <v>80</v>
      </c>
      <c r="U49" s="31" t="s">
        <v>75</v>
      </c>
      <c r="V49" s="32" t="s">
        <v>76</v>
      </c>
      <c r="W49" s="35"/>
      <c r="X49" s="17">
        <v>0</v>
      </c>
      <c r="Y49" s="19">
        <v>0</v>
      </c>
    </row>
    <row r="50" spans="1:25" ht="15.75" customHeight="1" x14ac:dyDescent="0.15">
      <c r="A50" s="26" t="s">
        <v>2056</v>
      </c>
      <c r="B50" s="26">
        <v>2</v>
      </c>
      <c r="C50" s="27" t="s">
        <v>73</v>
      </c>
      <c r="D50" s="26">
        <v>10</v>
      </c>
      <c r="E50" s="27" t="s">
        <v>2122</v>
      </c>
      <c r="F50" s="34" t="b">
        <v>1</v>
      </c>
      <c r="G50" s="29" t="b">
        <v>1</v>
      </c>
      <c r="H50" s="30" t="b">
        <v>1</v>
      </c>
      <c r="I50" s="34" t="b">
        <v>1</v>
      </c>
      <c r="J50" s="29"/>
      <c r="K50" s="29" t="b">
        <v>1</v>
      </c>
      <c r="L50" s="29"/>
      <c r="M50" s="29"/>
      <c r="N50" s="29"/>
      <c r="O50" s="29"/>
      <c r="P50" s="29"/>
      <c r="Q50" s="29"/>
      <c r="R50" s="30"/>
      <c r="S50" s="84" t="s">
        <v>73</v>
      </c>
      <c r="T50" s="84" t="s">
        <v>80</v>
      </c>
      <c r="U50" s="31" t="s">
        <v>75</v>
      </c>
      <c r="V50" s="32" t="s">
        <v>76</v>
      </c>
      <c r="W50" s="35"/>
      <c r="X50" s="17">
        <v>0</v>
      </c>
      <c r="Y50" s="19">
        <v>0</v>
      </c>
    </row>
    <row r="51" spans="1:25" ht="15.75" customHeight="1" x14ac:dyDescent="0.15">
      <c r="A51" s="26" t="s">
        <v>2056</v>
      </c>
      <c r="B51" s="26">
        <v>2</v>
      </c>
      <c r="C51" s="27" t="s">
        <v>73</v>
      </c>
      <c r="D51" s="26">
        <v>10</v>
      </c>
      <c r="E51" s="27" t="s">
        <v>2119</v>
      </c>
      <c r="F51" s="34" t="b">
        <v>1</v>
      </c>
      <c r="G51" s="29" t="b">
        <v>1</v>
      </c>
      <c r="H51" s="30" t="b">
        <v>1</v>
      </c>
      <c r="I51" s="34" t="b">
        <v>1</v>
      </c>
      <c r="J51" s="29"/>
      <c r="K51" s="29" t="b">
        <v>1</v>
      </c>
      <c r="L51" s="29"/>
      <c r="M51" s="29"/>
      <c r="N51" s="29"/>
      <c r="O51" s="29"/>
      <c r="P51" s="29"/>
      <c r="Q51" s="29"/>
      <c r="R51" s="30"/>
      <c r="S51" s="84" t="s">
        <v>73</v>
      </c>
      <c r="T51" s="84" t="s">
        <v>80</v>
      </c>
      <c r="U51" s="31" t="s">
        <v>75</v>
      </c>
      <c r="V51" s="32" t="s">
        <v>76</v>
      </c>
      <c r="W51" s="35"/>
      <c r="X51" s="17">
        <v>0</v>
      </c>
      <c r="Y51" s="19">
        <v>0</v>
      </c>
    </row>
    <row r="52" spans="1:25" ht="15.75" customHeight="1" x14ac:dyDescent="0.15">
      <c r="A52" s="26" t="s">
        <v>2056</v>
      </c>
      <c r="B52" s="26">
        <v>2</v>
      </c>
      <c r="C52" s="27" t="s">
        <v>73</v>
      </c>
      <c r="D52" s="26">
        <v>10</v>
      </c>
      <c r="E52" s="27" t="s">
        <v>2121</v>
      </c>
      <c r="F52" s="34" t="b">
        <v>1</v>
      </c>
      <c r="G52" s="29" t="b">
        <v>1</v>
      </c>
      <c r="H52" s="30" t="b">
        <v>1</v>
      </c>
      <c r="I52" s="34" t="b">
        <v>1</v>
      </c>
      <c r="J52" s="29"/>
      <c r="K52" s="29" t="b">
        <v>1</v>
      </c>
      <c r="L52" s="29"/>
      <c r="M52" s="29"/>
      <c r="N52" s="29"/>
      <c r="O52" s="29"/>
      <c r="P52" s="29"/>
      <c r="Q52" s="29"/>
      <c r="R52" s="30"/>
      <c r="S52" s="84" t="s">
        <v>73</v>
      </c>
      <c r="T52" s="84" t="s">
        <v>80</v>
      </c>
      <c r="U52" s="31" t="s">
        <v>75</v>
      </c>
      <c r="V52" s="32" t="s">
        <v>76</v>
      </c>
      <c r="W52" s="35"/>
      <c r="X52" s="17">
        <v>0</v>
      </c>
      <c r="Y52" s="19">
        <v>0</v>
      </c>
    </row>
    <row r="53" spans="1:25" ht="15.75" customHeight="1" x14ac:dyDescent="0.15">
      <c r="A53" s="26" t="s">
        <v>2056</v>
      </c>
      <c r="B53" s="26">
        <v>2</v>
      </c>
      <c r="C53" s="27" t="s">
        <v>73</v>
      </c>
      <c r="D53" s="26">
        <v>11</v>
      </c>
      <c r="E53" s="27" t="s">
        <v>2123</v>
      </c>
      <c r="F53" s="34" t="b">
        <v>1</v>
      </c>
      <c r="G53" s="29" t="b">
        <v>1</v>
      </c>
      <c r="H53" s="30" t="b">
        <v>1</v>
      </c>
      <c r="I53" s="34" t="b">
        <v>1</v>
      </c>
      <c r="J53" s="29"/>
      <c r="K53" s="29" t="b">
        <v>1</v>
      </c>
      <c r="L53" s="29"/>
      <c r="M53" s="29"/>
      <c r="N53" s="29"/>
      <c r="O53" s="29"/>
      <c r="P53" s="29"/>
      <c r="Q53" s="29"/>
      <c r="R53" s="30"/>
      <c r="S53" s="84" t="s">
        <v>73</v>
      </c>
      <c r="T53" s="84" t="s">
        <v>80</v>
      </c>
      <c r="U53" s="31" t="s">
        <v>75</v>
      </c>
      <c r="V53" s="32" t="s">
        <v>76</v>
      </c>
      <c r="W53" s="35"/>
      <c r="X53" s="17">
        <v>0</v>
      </c>
      <c r="Y53" s="19">
        <v>0</v>
      </c>
    </row>
    <row r="54" spans="1:25" ht="15.75" customHeight="1" x14ac:dyDescent="0.15">
      <c r="A54" s="26" t="s">
        <v>2056</v>
      </c>
      <c r="B54" s="26">
        <v>2</v>
      </c>
      <c r="C54" s="27" t="s">
        <v>73</v>
      </c>
      <c r="D54" s="26">
        <v>11</v>
      </c>
      <c r="E54" s="27" t="s">
        <v>2125</v>
      </c>
      <c r="F54" s="34" t="b">
        <v>1</v>
      </c>
      <c r="G54" s="29" t="b">
        <v>1</v>
      </c>
      <c r="H54" s="30" t="b">
        <v>1</v>
      </c>
      <c r="I54" s="34" t="b">
        <v>1</v>
      </c>
      <c r="J54" s="29"/>
      <c r="K54" s="29" t="b">
        <v>1</v>
      </c>
      <c r="L54" s="29"/>
      <c r="M54" s="29"/>
      <c r="N54" s="29"/>
      <c r="O54" s="29"/>
      <c r="P54" s="29"/>
      <c r="Q54" s="29"/>
      <c r="R54" s="30"/>
      <c r="S54" s="84" t="s">
        <v>73</v>
      </c>
      <c r="T54" s="84" t="s">
        <v>80</v>
      </c>
      <c r="U54" s="31"/>
      <c r="V54" s="32" t="s">
        <v>76</v>
      </c>
      <c r="W54" s="35"/>
      <c r="X54" s="17">
        <v>0</v>
      </c>
      <c r="Y54" s="19">
        <v>0</v>
      </c>
    </row>
    <row r="55" spans="1:25" ht="28" x14ac:dyDescent="0.15">
      <c r="A55" s="26" t="s">
        <v>2056</v>
      </c>
      <c r="B55" s="26">
        <v>2</v>
      </c>
      <c r="C55" s="27" t="s">
        <v>73</v>
      </c>
      <c r="D55" s="26">
        <v>11</v>
      </c>
      <c r="E55" s="27" t="s">
        <v>2124</v>
      </c>
      <c r="F55" s="34" t="b">
        <v>1</v>
      </c>
      <c r="G55" s="29" t="b">
        <v>1</v>
      </c>
      <c r="H55" s="30" t="b">
        <v>1</v>
      </c>
      <c r="I55" s="34" t="b">
        <v>1</v>
      </c>
      <c r="J55" s="29"/>
      <c r="K55" s="29" t="b">
        <v>1</v>
      </c>
      <c r="L55" s="29"/>
      <c r="M55" s="29"/>
      <c r="N55" s="29"/>
      <c r="O55" s="29"/>
      <c r="P55" s="29"/>
      <c r="Q55" s="29"/>
      <c r="R55" s="30"/>
      <c r="S55" s="84" t="s">
        <v>73</v>
      </c>
      <c r="T55" s="84" t="s">
        <v>81</v>
      </c>
      <c r="U55" s="31" t="s">
        <v>75</v>
      </c>
      <c r="V55" s="32" t="s">
        <v>76</v>
      </c>
      <c r="W55" s="35"/>
      <c r="X55" s="17">
        <v>0</v>
      </c>
      <c r="Y55" s="19">
        <v>0</v>
      </c>
    </row>
    <row r="56" spans="1:25" ht="21" x14ac:dyDescent="0.15">
      <c r="A56" s="26" t="s">
        <v>2056</v>
      </c>
      <c r="B56" s="26">
        <v>2</v>
      </c>
      <c r="C56" s="27" t="s">
        <v>73</v>
      </c>
      <c r="D56" s="26">
        <v>12</v>
      </c>
      <c r="E56" s="27" t="s">
        <v>2127</v>
      </c>
      <c r="F56" s="34" t="b">
        <v>1</v>
      </c>
      <c r="G56" s="29" t="b">
        <v>1</v>
      </c>
      <c r="H56" s="30" t="b">
        <v>1</v>
      </c>
      <c r="I56" s="34"/>
      <c r="J56" s="29"/>
      <c r="K56" s="29" t="b">
        <v>1</v>
      </c>
      <c r="L56" s="29"/>
      <c r="M56" s="29"/>
      <c r="N56" s="29"/>
      <c r="O56" s="29"/>
      <c r="P56" s="29"/>
      <c r="Q56" s="29"/>
      <c r="R56" s="30"/>
      <c r="S56" s="84" t="s">
        <v>73</v>
      </c>
      <c r="T56" s="84" t="s">
        <v>74</v>
      </c>
      <c r="U56" s="31"/>
      <c r="V56" s="32" t="s">
        <v>76</v>
      </c>
      <c r="W56" s="35"/>
      <c r="X56" s="17">
        <v>0</v>
      </c>
      <c r="Y56" s="19">
        <v>0</v>
      </c>
    </row>
    <row r="57" spans="1:25" ht="28" x14ac:dyDescent="0.15">
      <c r="A57" s="26" t="s">
        <v>2056</v>
      </c>
      <c r="B57" s="26">
        <v>2</v>
      </c>
      <c r="C57" s="27" t="s">
        <v>73</v>
      </c>
      <c r="D57" s="26">
        <v>12</v>
      </c>
      <c r="E57" s="27" t="s">
        <v>2126</v>
      </c>
      <c r="F57" s="34" t="b">
        <v>1</v>
      </c>
      <c r="G57" s="29" t="b">
        <v>1</v>
      </c>
      <c r="H57" s="30" t="b">
        <v>1</v>
      </c>
      <c r="I57" s="34"/>
      <c r="J57" s="29"/>
      <c r="K57" s="29" t="b">
        <v>1</v>
      </c>
      <c r="L57" s="29"/>
      <c r="M57" s="29"/>
      <c r="N57" s="29"/>
      <c r="O57" s="29"/>
      <c r="P57" s="29"/>
      <c r="Q57" s="29" t="b">
        <v>1</v>
      </c>
      <c r="R57" s="30"/>
      <c r="S57" s="84"/>
      <c r="T57" s="84"/>
      <c r="U57" s="31"/>
      <c r="V57" s="32" t="s">
        <v>76</v>
      </c>
      <c r="W57" s="35"/>
      <c r="X57" s="17">
        <v>0</v>
      </c>
      <c r="Y57" s="19">
        <v>0</v>
      </c>
    </row>
    <row r="58" spans="1:25" ht="21" x14ac:dyDescent="0.15">
      <c r="A58" s="26" t="s">
        <v>2056</v>
      </c>
      <c r="B58" s="26">
        <v>2</v>
      </c>
      <c r="C58" s="27" t="s">
        <v>73</v>
      </c>
      <c r="D58" s="26">
        <v>13</v>
      </c>
      <c r="E58" s="27" t="s">
        <v>2128</v>
      </c>
      <c r="F58" s="34" t="b">
        <v>1</v>
      </c>
      <c r="G58" s="29" t="b">
        <v>1</v>
      </c>
      <c r="H58" s="30" t="b">
        <v>1</v>
      </c>
      <c r="I58" s="34"/>
      <c r="J58" s="29"/>
      <c r="K58" s="29" t="b">
        <v>1</v>
      </c>
      <c r="L58" s="29"/>
      <c r="M58" s="29"/>
      <c r="N58" s="29"/>
      <c r="O58" s="29"/>
      <c r="P58" s="29"/>
      <c r="Q58" s="29" t="b">
        <v>1</v>
      </c>
      <c r="R58" s="30"/>
      <c r="S58" s="84" t="s">
        <v>73</v>
      </c>
      <c r="T58" s="84"/>
      <c r="U58" s="31"/>
      <c r="V58" s="32"/>
      <c r="W58" s="35"/>
      <c r="X58" s="17">
        <v>0</v>
      </c>
      <c r="Y58" s="19">
        <v>0</v>
      </c>
    </row>
    <row r="59" spans="1:25" ht="21" x14ac:dyDescent="0.15">
      <c r="A59" s="26" t="s">
        <v>2056</v>
      </c>
      <c r="B59" s="26">
        <v>3</v>
      </c>
      <c r="C59" s="27" t="s">
        <v>2297</v>
      </c>
      <c r="D59" s="26">
        <v>6</v>
      </c>
      <c r="E59" s="27" t="s">
        <v>2298</v>
      </c>
      <c r="F59" s="34" t="b">
        <v>1</v>
      </c>
      <c r="G59" s="29" t="b">
        <v>1</v>
      </c>
      <c r="H59" s="30"/>
      <c r="I59" s="34"/>
      <c r="J59" s="29"/>
      <c r="K59" s="29"/>
      <c r="L59" s="29"/>
      <c r="M59" s="29"/>
      <c r="N59" s="29" t="b">
        <v>1</v>
      </c>
      <c r="O59" s="29"/>
      <c r="P59" s="29"/>
      <c r="Q59" s="29" t="b">
        <v>1</v>
      </c>
      <c r="R59" s="30"/>
      <c r="S59" s="84"/>
      <c r="T59" s="84"/>
      <c r="U59" s="31"/>
      <c r="V59" s="32"/>
      <c r="W59" s="35"/>
      <c r="X59" s="17">
        <v>1</v>
      </c>
      <c r="Y59" s="19">
        <v>0</v>
      </c>
    </row>
    <row r="60" spans="1:25" ht="21" x14ac:dyDescent="0.15">
      <c r="A60" s="26" t="s">
        <v>2056</v>
      </c>
      <c r="B60" s="26">
        <v>3</v>
      </c>
      <c r="C60" s="27" t="s">
        <v>2297</v>
      </c>
      <c r="D60" s="26">
        <v>6</v>
      </c>
      <c r="E60" s="27" t="s">
        <v>2300</v>
      </c>
      <c r="F60" s="34" t="b">
        <v>1</v>
      </c>
      <c r="G60" s="29" t="b">
        <v>1</v>
      </c>
      <c r="H60" s="30"/>
      <c r="I60" s="34"/>
      <c r="J60" s="29"/>
      <c r="K60" s="29"/>
      <c r="L60" s="29"/>
      <c r="M60" s="29"/>
      <c r="N60" s="29"/>
      <c r="O60" s="29"/>
      <c r="P60" s="29"/>
      <c r="Q60" s="29" t="b">
        <v>1</v>
      </c>
      <c r="R60" s="30"/>
      <c r="S60" s="84" t="s">
        <v>73</v>
      </c>
      <c r="T60" s="84" t="s">
        <v>74</v>
      </c>
      <c r="U60" s="36" t="s">
        <v>75</v>
      </c>
      <c r="V60" s="37" t="s">
        <v>76</v>
      </c>
      <c r="W60" s="35"/>
      <c r="X60" s="17">
        <v>1</v>
      </c>
      <c r="Y60" s="19">
        <v>0</v>
      </c>
    </row>
    <row r="61" spans="1:25" ht="21" x14ac:dyDescent="0.15">
      <c r="A61" s="26" t="s">
        <v>2056</v>
      </c>
      <c r="B61" s="26">
        <v>3</v>
      </c>
      <c r="C61" s="27" t="s">
        <v>2297</v>
      </c>
      <c r="D61" s="26">
        <v>6</v>
      </c>
      <c r="E61" s="27" t="s">
        <v>2299</v>
      </c>
      <c r="F61" s="34" t="b">
        <v>1</v>
      </c>
      <c r="G61" s="29" t="b">
        <v>1</v>
      </c>
      <c r="H61" s="30"/>
      <c r="I61" s="34"/>
      <c r="J61" s="29"/>
      <c r="K61" s="29"/>
      <c r="L61" s="29"/>
      <c r="M61" s="29"/>
      <c r="N61" s="29"/>
      <c r="O61" s="29"/>
      <c r="P61" s="29"/>
      <c r="Q61" s="29" t="b">
        <v>1</v>
      </c>
      <c r="R61" s="30"/>
      <c r="S61" s="84" t="s">
        <v>73</v>
      </c>
      <c r="T61" s="84" t="s">
        <v>82</v>
      </c>
      <c r="U61" s="31"/>
      <c r="V61" s="32"/>
      <c r="W61" s="35"/>
      <c r="X61" s="17">
        <v>1</v>
      </c>
      <c r="Y61" s="19">
        <v>0</v>
      </c>
    </row>
    <row r="62" spans="1:25" ht="21" x14ac:dyDescent="0.15">
      <c r="A62" s="26" t="s">
        <v>2056</v>
      </c>
      <c r="B62" s="26">
        <v>3</v>
      </c>
      <c r="C62" s="27" t="s">
        <v>2297</v>
      </c>
      <c r="D62" s="26">
        <v>7</v>
      </c>
      <c r="E62" s="27" t="s">
        <v>2303</v>
      </c>
      <c r="F62" s="34" t="b">
        <v>1</v>
      </c>
      <c r="G62" s="29" t="b">
        <v>1</v>
      </c>
      <c r="H62" s="30"/>
      <c r="I62" s="34"/>
      <c r="J62" s="29"/>
      <c r="K62" s="29"/>
      <c r="L62" s="29"/>
      <c r="M62" s="29"/>
      <c r="N62" s="29"/>
      <c r="O62" s="29"/>
      <c r="P62" s="29"/>
      <c r="Q62" s="29" t="b">
        <v>1</v>
      </c>
      <c r="R62" s="30"/>
      <c r="S62" s="84" t="s">
        <v>73</v>
      </c>
      <c r="T62" s="84" t="s">
        <v>82</v>
      </c>
      <c r="U62" s="31" t="s">
        <v>70</v>
      </c>
      <c r="V62" s="32" t="s">
        <v>83</v>
      </c>
      <c r="W62" s="35"/>
      <c r="X62" s="17">
        <v>1</v>
      </c>
      <c r="Y62" s="19">
        <v>0</v>
      </c>
    </row>
    <row r="63" spans="1:25" ht="21" x14ac:dyDescent="0.15">
      <c r="A63" s="26" t="s">
        <v>2056</v>
      </c>
      <c r="B63" s="26">
        <v>3</v>
      </c>
      <c r="C63" s="27" t="s">
        <v>2297</v>
      </c>
      <c r="D63" s="26">
        <v>7</v>
      </c>
      <c r="E63" s="27" t="s">
        <v>2301</v>
      </c>
      <c r="F63" s="34" t="b">
        <v>1</v>
      </c>
      <c r="G63" s="29" t="b">
        <v>1</v>
      </c>
      <c r="H63" s="30"/>
      <c r="I63" s="34"/>
      <c r="J63" s="29"/>
      <c r="K63" s="29"/>
      <c r="L63" s="29"/>
      <c r="M63" s="29"/>
      <c r="N63" s="29"/>
      <c r="O63" s="29"/>
      <c r="P63" s="29"/>
      <c r="Q63" s="29" t="b">
        <v>1</v>
      </c>
      <c r="R63" s="30"/>
      <c r="S63" s="84" t="s">
        <v>73</v>
      </c>
      <c r="T63" s="84" t="s">
        <v>82</v>
      </c>
      <c r="U63" s="31" t="s">
        <v>70</v>
      </c>
      <c r="V63" s="32" t="s">
        <v>83</v>
      </c>
      <c r="W63" s="35"/>
      <c r="X63" s="17">
        <v>1</v>
      </c>
      <c r="Y63" s="19">
        <v>0</v>
      </c>
    </row>
    <row r="64" spans="1:25" ht="28" x14ac:dyDescent="0.15">
      <c r="A64" s="26" t="s">
        <v>2056</v>
      </c>
      <c r="B64" s="26">
        <v>3</v>
      </c>
      <c r="C64" s="27" t="s">
        <v>2297</v>
      </c>
      <c r="D64" s="26">
        <v>7</v>
      </c>
      <c r="E64" s="27" t="s">
        <v>2302</v>
      </c>
      <c r="F64" s="34" t="b">
        <v>1</v>
      </c>
      <c r="G64" s="29" t="b">
        <v>1</v>
      </c>
      <c r="H64" s="30"/>
      <c r="I64" s="34"/>
      <c r="J64" s="29"/>
      <c r="K64" s="29"/>
      <c r="L64" s="29"/>
      <c r="M64" s="29"/>
      <c r="N64" s="29"/>
      <c r="O64" s="29"/>
      <c r="P64" s="29"/>
      <c r="Q64" s="29" t="b">
        <v>1</v>
      </c>
      <c r="R64" s="30"/>
      <c r="S64" s="84" t="s">
        <v>73</v>
      </c>
      <c r="T64" s="84" t="s">
        <v>82</v>
      </c>
      <c r="U64" s="31" t="s">
        <v>70</v>
      </c>
      <c r="V64" s="32" t="s">
        <v>83</v>
      </c>
      <c r="W64" s="35"/>
      <c r="X64" s="17">
        <v>1</v>
      </c>
      <c r="Y64" s="19">
        <v>0</v>
      </c>
    </row>
    <row r="65" spans="1:25" ht="21" x14ac:dyDescent="0.15">
      <c r="A65" s="26" t="s">
        <v>2056</v>
      </c>
      <c r="B65" s="26">
        <v>3</v>
      </c>
      <c r="C65" s="27" t="s">
        <v>2297</v>
      </c>
      <c r="D65" s="26">
        <v>8</v>
      </c>
      <c r="E65" s="27" t="s">
        <v>2406</v>
      </c>
      <c r="F65" s="34" t="b">
        <v>1</v>
      </c>
      <c r="G65" s="29" t="b">
        <v>1</v>
      </c>
      <c r="H65" s="30"/>
      <c r="I65" s="34"/>
      <c r="J65" s="29"/>
      <c r="K65" s="29"/>
      <c r="L65" s="29"/>
      <c r="M65" s="29"/>
      <c r="N65" s="29"/>
      <c r="O65" s="29"/>
      <c r="P65" s="29"/>
      <c r="Q65" s="29" t="b">
        <v>1</v>
      </c>
      <c r="R65" s="30"/>
      <c r="S65" s="84" t="s">
        <v>73</v>
      </c>
      <c r="T65" s="84" t="s">
        <v>82</v>
      </c>
      <c r="U65" s="31" t="s">
        <v>70</v>
      </c>
      <c r="V65" s="32" t="s">
        <v>83</v>
      </c>
      <c r="W65" s="35"/>
      <c r="X65" s="17">
        <v>1</v>
      </c>
      <c r="Y65" s="19">
        <v>0</v>
      </c>
    </row>
    <row r="66" spans="1:25" ht="21" x14ac:dyDescent="0.15">
      <c r="A66" s="26" t="s">
        <v>2056</v>
      </c>
      <c r="B66" s="26">
        <v>3</v>
      </c>
      <c r="C66" s="27" t="s">
        <v>2297</v>
      </c>
      <c r="D66" s="26">
        <v>8</v>
      </c>
      <c r="E66" s="27" t="s">
        <v>2305</v>
      </c>
      <c r="F66" s="34" t="b">
        <v>1</v>
      </c>
      <c r="G66" s="29" t="b">
        <v>1</v>
      </c>
      <c r="H66" s="30"/>
      <c r="I66" s="34" t="b">
        <v>1</v>
      </c>
      <c r="J66" s="29"/>
      <c r="K66" s="29"/>
      <c r="L66" s="29"/>
      <c r="M66" s="29"/>
      <c r="N66" s="29"/>
      <c r="O66" s="29"/>
      <c r="P66" s="29"/>
      <c r="Q66" s="29" t="b">
        <v>1</v>
      </c>
      <c r="R66" s="30"/>
      <c r="S66" s="84"/>
      <c r="T66" s="84" t="s">
        <v>82</v>
      </c>
      <c r="U66" s="31" t="s">
        <v>70</v>
      </c>
      <c r="V66" s="32" t="s">
        <v>83</v>
      </c>
      <c r="W66" s="35"/>
      <c r="X66" s="17">
        <v>1</v>
      </c>
      <c r="Y66" s="19">
        <v>0</v>
      </c>
    </row>
    <row r="67" spans="1:25" ht="42" x14ac:dyDescent="0.15">
      <c r="A67" s="26" t="s">
        <v>2056</v>
      </c>
      <c r="B67" s="26">
        <v>3</v>
      </c>
      <c r="C67" s="27" t="s">
        <v>2297</v>
      </c>
      <c r="D67" s="26">
        <v>8</v>
      </c>
      <c r="E67" s="27" t="s">
        <v>2306</v>
      </c>
      <c r="F67" s="34" t="b">
        <v>1</v>
      </c>
      <c r="G67" s="29" t="b">
        <v>1</v>
      </c>
      <c r="H67" s="30"/>
      <c r="I67" s="34" t="b">
        <v>1</v>
      </c>
      <c r="J67" s="29"/>
      <c r="K67" s="29"/>
      <c r="L67" s="29"/>
      <c r="M67" s="29"/>
      <c r="N67" s="29"/>
      <c r="O67" s="29"/>
      <c r="P67" s="29"/>
      <c r="Q67" s="29" t="b">
        <v>1</v>
      </c>
      <c r="R67" s="30"/>
      <c r="S67" s="84" t="s">
        <v>73</v>
      </c>
      <c r="T67" s="84" t="s">
        <v>84</v>
      </c>
      <c r="U67" s="31" t="s">
        <v>70</v>
      </c>
      <c r="V67" s="32" t="s">
        <v>83</v>
      </c>
      <c r="W67" s="35"/>
      <c r="X67" s="17">
        <v>1</v>
      </c>
      <c r="Y67" s="19">
        <v>0</v>
      </c>
    </row>
    <row r="68" spans="1:25" ht="21" x14ac:dyDescent="0.15">
      <c r="A68" s="26" t="s">
        <v>2056</v>
      </c>
      <c r="B68" s="26">
        <v>3</v>
      </c>
      <c r="C68" s="27" t="s">
        <v>2297</v>
      </c>
      <c r="D68" s="26">
        <v>8</v>
      </c>
      <c r="E68" s="27" t="s">
        <v>2407</v>
      </c>
      <c r="F68" s="34" t="b">
        <v>1</v>
      </c>
      <c r="G68" s="29" t="b">
        <v>1</v>
      </c>
      <c r="H68" s="30"/>
      <c r="I68" s="34" t="b">
        <v>1</v>
      </c>
      <c r="J68" s="29"/>
      <c r="K68" s="29"/>
      <c r="L68" s="29"/>
      <c r="M68" s="29"/>
      <c r="N68" s="29"/>
      <c r="O68" s="29"/>
      <c r="P68" s="29"/>
      <c r="Q68" s="29" t="b">
        <v>1</v>
      </c>
      <c r="R68" s="30"/>
      <c r="S68" s="84"/>
      <c r="T68" s="84"/>
      <c r="U68" s="31"/>
      <c r="V68" s="32" t="s">
        <v>85</v>
      </c>
      <c r="W68" s="35"/>
      <c r="X68" s="17">
        <v>1</v>
      </c>
      <c r="Y68" s="19">
        <v>0</v>
      </c>
    </row>
    <row r="69" spans="1:25" ht="21" x14ac:dyDescent="0.15">
      <c r="A69" s="26" t="s">
        <v>2056</v>
      </c>
      <c r="B69" s="26">
        <v>3</v>
      </c>
      <c r="C69" s="27" t="s">
        <v>2297</v>
      </c>
      <c r="D69" s="26">
        <v>9</v>
      </c>
      <c r="E69" s="27" t="s">
        <v>2309</v>
      </c>
      <c r="F69" s="34" t="b">
        <v>1</v>
      </c>
      <c r="G69" s="29" t="b">
        <v>1</v>
      </c>
      <c r="H69" s="30"/>
      <c r="I69" s="34" t="b">
        <v>1</v>
      </c>
      <c r="J69" s="29"/>
      <c r="K69" s="29"/>
      <c r="L69" s="29"/>
      <c r="M69" s="29"/>
      <c r="N69" s="29"/>
      <c r="O69" s="29"/>
      <c r="P69" s="29"/>
      <c r="Q69" s="29" t="b">
        <v>1</v>
      </c>
      <c r="R69" s="30"/>
      <c r="S69" s="84" t="s">
        <v>73</v>
      </c>
      <c r="T69" s="84"/>
      <c r="U69" s="31"/>
      <c r="V69" s="32"/>
      <c r="W69" s="35"/>
      <c r="X69" s="17">
        <v>1</v>
      </c>
      <c r="Y69" s="19">
        <v>0</v>
      </c>
    </row>
    <row r="70" spans="1:25" ht="21" x14ac:dyDescent="0.15">
      <c r="A70" s="26" t="s">
        <v>2056</v>
      </c>
      <c r="B70" s="26">
        <v>3</v>
      </c>
      <c r="C70" s="27" t="s">
        <v>2297</v>
      </c>
      <c r="D70" s="26">
        <v>9</v>
      </c>
      <c r="E70" s="27" t="s">
        <v>2308</v>
      </c>
      <c r="F70" s="34" t="b">
        <v>1</v>
      </c>
      <c r="G70" s="29" t="b">
        <v>1</v>
      </c>
      <c r="H70" s="30"/>
      <c r="I70" s="34"/>
      <c r="J70" s="29"/>
      <c r="K70" s="29"/>
      <c r="L70" s="29"/>
      <c r="M70" s="29"/>
      <c r="N70" s="29"/>
      <c r="O70" s="29"/>
      <c r="P70" s="29"/>
      <c r="Q70" s="29" t="b">
        <v>1</v>
      </c>
      <c r="R70" s="30"/>
      <c r="S70" s="84" t="s">
        <v>73</v>
      </c>
      <c r="T70" s="84"/>
      <c r="U70" s="31"/>
      <c r="V70" s="32"/>
      <c r="W70" s="35"/>
      <c r="X70" s="17">
        <v>1</v>
      </c>
      <c r="Y70" s="19">
        <v>0</v>
      </c>
    </row>
    <row r="71" spans="1:25" ht="28" x14ac:dyDescent="0.15">
      <c r="A71" s="26" t="s">
        <v>2056</v>
      </c>
      <c r="B71" s="26">
        <v>3</v>
      </c>
      <c r="C71" s="27" t="s">
        <v>2297</v>
      </c>
      <c r="D71" s="26">
        <v>9</v>
      </c>
      <c r="E71" s="27" t="s">
        <v>2310</v>
      </c>
      <c r="F71" s="34" t="b">
        <v>1</v>
      </c>
      <c r="G71" s="29" t="b">
        <v>1</v>
      </c>
      <c r="H71" s="30"/>
      <c r="I71" s="34"/>
      <c r="J71" s="29"/>
      <c r="K71" s="29"/>
      <c r="L71" s="29"/>
      <c r="M71" s="29"/>
      <c r="N71" s="29"/>
      <c r="O71" s="29"/>
      <c r="P71" s="29"/>
      <c r="Q71" s="29" t="b">
        <v>1</v>
      </c>
      <c r="R71" s="30"/>
      <c r="S71" s="84" t="s">
        <v>86</v>
      </c>
      <c r="T71" s="84" t="s">
        <v>80</v>
      </c>
      <c r="U71" s="31" t="s">
        <v>87</v>
      </c>
      <c r="V71" s="32"/>
      <c r="W71" s="35"/>
      <c r="X71" s="17">
        <v>1</v>
      </c>
      <c r="Y71" s="19">
        <v>0</v>
      </c>
    </row>
    <row r="72" spans="1:25" ht="21" x14ac:dyDescent="0.15">
      <c r="A72" s="26" t="s">
        <v>2056</v>
      </c>
      <c r="B72" s="26">
        <v>3</v>
      </c>
      <c r="C72" s="27" t="s">
        <v>2297</v>
      </c>
      <c r="D72" s="26">
        <v>10</v>
      </c>
      <c r="E72" s="27" t="s">
        <v>2311</v>
      </c>
      <c r="F72" s="34" t="b">
        <v>1</v>
      </c>
      <c r="G72" s="29" t="b">
        <v>1</v>
      </c>
      <c r="H72" s="30"/>
      <c r="I72" s="34"/>
      <c r="J72" s="29"/>
      <c r="K72" s="29"/>
      <c r="L72" s="29"/>
      <c r="M72" s="29"/>
      <c r="N72" s="29"/>
      <c r="O72" s="29"/>
      <c r="P72" s="29"/>
      <c r="Q72" s="29" t="b">
        <v>1</v>
      </c>
      <c r="R72" s="30"/>
      <c r="S72" s="84" t="s">
        <v>86</v>
      </c>
      <c r="T72" s="84" t="s">
        <v>80</v>
      </c>
      <c r="U72" s="31" t="s">
        <v>87</v>
      </c>
      <c r="V72" s="32"/>
      <c r="W72" s="35"/>
      <c r="X72" s="17">
        <v>1</v>
      </c>
      <c r="Y72" s="19">
        <v>0</v>
      </c>
    </row>
    <row r="73" spans="1:25" ht="21" x14ac:dyDescent="0.15">
      <c r="A73" s="26" t="s">
        <v>2056</v>
      </c>
      <c r="B73" s="26">
        <v>3</v>
      </c>
      <c r="C73" s="27" t="s">
        <v>2297</v>
      </c>
      <c r="D73" s="26">
        <v>10</v>
      </c>
      <c r="E73" s="27" t="s">
        <v>2312</v>
      </c>
      <c r="F73" s="34" t="b">
        <v>1</v>
      </c>
      <c r="G73" s="29" t="b">
        <v>1</v>
      </c>
      <c r="H73" s="30"/>
      <c r="I73" s="34" t="b">
        <v>1</v>
      </c>
      <c r="J73" s="29"/>
      <c r="K73" s="29"/>
      <c r="L73" s="29"/>
      <c r="M73" s="29"/>
      <c r="N73" s="29"/>
      <c r="O73" s="29"/>
      <c r="P73" s="29"/>
      <c r="Q73" s="29" t="b">
        <v>1</v>
      </c>
      <c r="R73" s="30"/>
      <c r="S73" s="84" t="s">
        <v>86</v>
      </c>
      <c r="T73" s="84" t="s">
        <v>80</v>
      </c>
      <c r="U73" s="31" t="s">
        <v>87</v>
      </c>
      <c r="V73" s="32" t="s">
        <v>88</v>
      </c>
      <c r="W73" s="35"/>
      <c r="X73" s="17">
        <v>1</v>
      </c>
      <c r="Y73" s="19">
        <v>0</v>
      </c>
    </row>
    <row r="74" spans="1:25" ht="21" x14ac:dyDescent="0.15">
      <c r="A74" s="26" t="s">
        <v>2056</v>
      </c>
      <c r="B74" s="26">
        <v>3</v>
      </c>
      <c r="C74" s="27" t="s">
        <v>2297</v>
      </c>
      <c r="D74" s="26">
        <v>10</v>
      </c>
      <c r="E74" s="27" t="s">
        <v>2313</v>
      </c>
      <c r="F74" s="34" t="b">
        <v>1</v>
      </c>
      <c r="G74" s="29" t="b">
        <v>1</v>
      </c>
      <c r="H74" s="30"/>
      <c r="I74" s="34"/>
      <c r="J74" s="29"/>
      <c r="K74" s="29"/>
      <c r="L74" s="29"/>
      <c r="M74" s="29"/>
      <c r="N74" s="29"/>
      <c r="O74" s="29"/>
      <c r="P74" s="29"/>
      <c r="Q74" s="29" t="b">
        <v>1</v>
      </c>
      <c r="R74" s="30"/>
      <c r="S74" s="84" t="s">
        <v>86</v>
      </c>
      <c r="T74" s="84" t="s">
        <v>80</v>
      </c>
      <c r="U74" s="31"/>
      <c r="V74" s="32" t="s">
        <v>88</v>
      </c>
      <c r="W74" s="35"/>
      <c r="X74" s="17">
        <v>1</v>
      </c>
      <c r="Y74" s="19">
        <v>0</v>
      </c>
    </row>
    <row r="75" spans="1:25" ht="21" x14ac:dyDescent="0.15">
      <c r="A75" s="26" t="s">
        <v>2056</v>
      </c>
      <c r="B75" s="26">
        <v>3</v>
      </c>
      <c r="C75" s="27" t="s">
        <v>2297</v>
      </c>
      <c r="D75" s="26">
        <v>11</v>
      </c>
      <c r="E75" s="27" t="s">
        <v>2314</v>
      </c>
      <c r="F75" s="34" t="b">
        <v>1</v>
      </c>
      <c r="G75" s="29" t="b">
        <v>1</v>
      </c>
      <c r="H75" s="30"/>
      <c r="I75" s="34"/>
      <c r="J75" s="29"/>
      <c r="K75" s="29"/>
      <c r="L75" s="29"/>
      <c r="M75" s="29"/>
      <c r="N75" s="29"/>
      <c r="O75" s="29"/>
      <c r="P75" s="29"/>
      <c r="Q75" s="29" t="b">
        <v>1</v>
      </c>
      <c r="R75" s="30"/>
      <c r="S75" s="84" t="s">
        <v>86</v>
      </c>
      <c r="T75" s="84" t="s">
        <v>80</v>
      </c>
      <c r="U75" s="31" t="s">
        <v>87</v>
      </c>
      <c r="V75" s="32" t="s">
        <v>88</v>
      </c>
      <c r="W75" s="35"/>
      <c r="X75" s="17">
        <v>1</v>
      </c>
      <c r="Y75" s="19">
        <v>0</v>
      </c>
    </row>
    <row r="76" spans="1:25" ht="21" x14ac:dyDescent="0.15">
      <c r="A76" s="26" t="s">
        <v>2056</v>
      </c>
      <c r="B76" s="26">
        <v>3</v>
      </c>
      <c r="C76" s="27" t="s">
        <v>2297</v>
      </c>
      <c r="D76" s="26">
        <v>11</v>
      </c>
      <c r="E76" s="27" t="s">
        <v>2316</v>
      </c>
      <c r="F76" s="34" t="b">
        <v>1</v>
      </c>
      <c r="G76" s="29" t="b">
        <v>1</v>
      </c>
      <c r="H76" s="30"/>
      <c r="I76" s="34"/>
      <c r="J76" s="29"/>
      <c r="K76" s="29"/>
      <c r="L76" s="29"/>
      <c r="M76" s="29"/>
      <c r="N76" s="29"/>
      <c r="O76" s="29"/>
      <c r="P76" s="29"/>
      <c r="Q76" s="29" t="b">
        <v>1</v>
      </c>
      <c r="R76" s="30"/>
      <c r="S76" s="84" t="s">
        <v>86</v>
      </c>
      <c r="T76" s="84" t="s">
        <v>80</v>
      </c>
      <c r="U76" s="31" t="s">
        <v>87</v>
      </c>
      <c r="V76" s="32" t="s">
        <v>88</v>
      </c>
      <c r="W76" s="35"/>
      <c r="X76" s="17">
        <v>1</v>
      </c>
      <c r="Y76" s="19">
        <v>0</v>
      </c>
    </row>
    <row r="77" spans="1:25" ht="21" x14ac:dyDescent="0.15">
      <c r="A77" s="26" t="s">
        <v>2056</v>
      </c>
      <c r="B77" s="26">
        <v>3</v>
      </c>
      <c r="C77" s="27" t="s">
        <v>2297</v>
      </c>
      <c r="D77" s="26">
        <v>11</v>
      </c>
      <c r="E77" s="27" t="s">
        <v>2315</v>
      </c>
      <c r="F77" s="34" t="b">
        <v>1</v>
      </c>
      <c r="G77" s="29" t="b">
        <v>1</v>
      </c>
      <c r="H77" s="30"/>
      <c r="I77" s="34" t="b">
        <v>1</v>
      </c>
      <c r="J77" s="29"/>
      <c r="K77" s="29"/>
      <c r="L77" s="29"/>
      <c r="M77" s="29"/>
      <c r="N77" s="29"/>
      <c r="O77" s="29"/>
      <c r="P77" s="29"/>
      <c r="Q77" s="29" t="b">
        <v>1</v>
      </c>
      <c r="R77" s="30"/>
      <c r="S77" s="84" t="s">
        <v>86</v>
      </c>
      <c r="T77" s="84" t="s">
        <v>80</v>
      </c>
      <c r="U77" s="31" t="s">
        <v>87</v>
      </c>
      <c r="V77" s="32" t="s">
        <v>88</v>
      </c>
      <c r="W77" s="35"/>
      <c r="X77" s="17">
        <v>1</v>
      </c>
      <c r="Y77" s="19">
        <v>0</v>
      </c>
    </row>
    <row r="78" spans="1:25" ht="21" x14ac:dyDescent="0.15">
      <c r="A78" s="26" t="s">
        <v>2056</v>
      </c>
      <c r="B78" s="26">
        <v>4</v>
      </c>
      <c r="C78" s="27" t="s">
        <v>2317</v>
      </c>
      <c r="D78" s="26">
        <v>12</v>
      </c>
      <c r="E78" s="27" t="s">
        <v>2318</v>
      </c>
      <c r="F78" s="34" t="b">
        <v>1</v>
      </c>
      <c r="G78" s="29" t="b">
        <v>1</v>
      </c>
      <c r="H78" s="30"/>
      <c r="I78" s="34" t="b">
        <v>1</v>
      </c>
      <c r="J78" s="29"/>
      <c r="K78" s="29"/>
      <c r="L78" s="29"/>
      <c r="M78" s="29"/>
      <c r="N78" s="29"/>
      <c r="O78" s="29"/>
      <c r="P78" s="29"/>
      <c r="Q78" s="29" t="b">
        <v>1</v>
      </c>
      <c r="R78" s="30"/>
      <c r="S78" s="84" t="s">
        <v>86</v>
      </c>
      <c r="T78" s="84" t="s">
        <v>80</v>
      </c>
      <c r="U78" s="31" t="s">
        <v>87</v>
      </c>
      <c r="V78" s="32" t="s">
        <v>88</v>
      </c>
      <c r="W78" s="35"/>
      <c r="X78" s="17">
        <v>0</v>
      </c>
      <c r="Y78" s="19">
        <v>0</v>
      </c>
    </row>
    <row r="79" spans="1:25" ht="21" x14ac:dyDescent="0.15">
      <c r="A79" s="26" t="s">
        <v>2056</v>
      </c>
      <c r="B79" s="26">
        <v>4</v>
      </c>
      <c r="C79" s="27" t="s">
        <v>2317</v>
      </c>
      <c r="D79" s="26">
        <v>12</v>
      </c>
      <c r="E79" s="27" t="s">
        <v>2319</v>
      </c>
      <c r="F79" s="34" t="b">
        <v>1</v>
      </c>
      <c r="G79" s="29" t="b">
        <v>1</v>
      </c>
      <c r="H79" s="30"/>
      <c r="I79" s="34"/>
      <c r="J79" s="29"/>
      <c r="K79" s="29"/>
      <c r="L79" s="29"/>
      <c r="M79" s="29"/>
      <c r="N79" s="29"/>
      <c r="O79" s="29"/>
      <c r="P79" s="29"/>
      <c r="Q79" s="29" t="b">
        <v>1</v>
      </c>
      <c r="R79" s="30"/>
      <c r="S79" s="84" t="s">
        <v>86</v>
      </c>
      <c r="T79" s="84" t="s">
        <v>80</v>
      </c>
      <c r="U79" s="31" t="s">
        <v>87</v>
      </c>
      <c r="V79" s="32" t="s">
        <v>88</v>
      </c>
      <c r="W79" s="35"/>
      <c r="X79" s="17">
        <v>0</v>
      </c>
      <c r="Y79" s="19">
        <v>0</v>
      </c>
    </row>
    <row r="80" spans="1:25" ht="21" x14ac:dyDescent="0.15">
      <c r="A80" s="26" t="s">
        <v>2056</v>
      </c>
      <c r="B80" s="26">
        <v>4</v>
      </c>
      <c r="C80" s="27" t="s">
        <v>2317</v>
      </c>
      <c r="D80" s="26">
        <v>13</v>
      </c>
      <c r="E80" s="27" t="s">
        <v>2321</v>
      </c>
      <c r="F80" s="34" t="b">
        <v>1</v>
      </c>
      <c r="G80" s="29" t="b">
        <v>1</v>
      </c>
      <c r="H80" s="30"/>
      <c r="I80" s="34" t="b">
        <v>1</v>
      </c>
      <c r="J80" s="29"/>
      <c r="K80" s="29"/>
      <c r="L80" s="29"/>
      <c r="M80" s="29"/>
      <c r="N80" s="29"/>
      <c r="O80" s="29"/>
      <c r="P80" s="29"/>
      <c r="Q80" s="29" t="b">
        <v>1</v>
      </c>
      <c r="R80" s="30"/>
      <c r="S80" s="84"/>
      <c r="T80" s="84" t="s">
        <v>80</v>
      </c>
      <c r="U80" s="31" t="s">
        <v>87</v>
      </c>
      <c r="V80" s="32" t="s">
        <v>88</v>
      </c>
      <c r="W80" s="35"/>
      <c r="X80" s="17">
        <v>0</v>
      </c>
      <c r="Y80" s="19">
        <v>0</v>
      </c>
    </row>
    <row r="81" spans="1:25" ht="21" x14ac:dyDescent="0.15">
      <c r="A81" s="26" t="s">
        <v>2056</v>
      </c>
      <c r="B81" s="26">
        <v>4</v>
      </c>
      <c r="C81" s="27" t="s">
        <v>2317</v>
      </c>
      <c r="D81" s="26">
        <v>13</v>
      </c>
      <c r="E81" s="27" t="s">
        <v>2320</v>
      </c>
      <c r="F81" s="34" t="b">
        <v>1</v>
      </c>
      <c r="G81" s="29" t="b">
        <v>1</v>
      </c>
      <c r="H81" s="30"/>
      <c r="I81" s="34" t="b">
        <v>1</v>
      </c>
      <c r="J81" s="29"/>
      <c r="K81" s="29"/>
      <c r="L81" s="29"/>
      <c r="M81" s="29"/>
      <c r="N81" s="29"/>
      <c r="O81" s="29"/>
      <c r="P81" s="29"/>
      <c r="Q81" s="29" t="b">
        <v>1</v>
      </c>
      <c r="R81" s="30"/>
      <c r="S81" s="84" t="s">
        <v>86</v>
      </c>
      <c r="T81" s="84" t="s">
        <v>80</v>
      </c>
      <c r="U81" s="31" t="s">
        <v>87</v>
      </c>
      <c r="V81" s="32" t="s">
        <v>88</v>
      </c>
      <c r="W81" s="35"/>
      <c r="X81" s="17">
        <v>0</v>
      </c>
      <c r="Y81" s="19">
        <v>0</v>
      </c>
    </row>
    <row r="82" spans="1:25" ht="21" x14ac:dyDescent="0.15">
      <c r="A82" s="26" t="s">
        <v>2056</v>
      </c>
      <c r="B82" s="26">
        <v>4</v>
      </c>
      <c r="C82" s="27" t="s">
        <v>2317</v>
      </c>
      <c r="D82" s="26">
        <v>14</v>
      </c>
      <c r="E82" s="27" t="s">
        <v>2325</v>
      </c>
      <c r="F82" s="34" t="b">
        <v>1</v>
      </c>
      <c r="G82" s="29" t="b">
        <v>1</v>
      </c>
      <c r="H82" s="30"/>
      <c r="I82" s="34" t="b">
        <v>1</v>
      </c>
      <c r="J82" s="29"/>
      <c r="K82" s="29"/>
      <c r="L82" s="29" t="b">
        <v>1</v>
      </c>
      <c r="M82" s="29"/>
      <c r="N82" s="29"/>
      <c r="O82" s="29"/>
      <c r="P82" s="29"/>
      <c r="Q82" s="29" t="b">
        <v>1</v>
      </c>
      <c r="R82" s="30"/>
      <c r="S82" s="84" t="s">
        <v>86</v>
      </c>
      <c r="T82" s="84" t="s">
        <v>80</v>
      </c>
      <c r="U82" s="31" t="s">
        <v>87</v>
      </c>
      <c r="V82" s="32" t="s">
        <v>88</v>
      </c>
      <c r="W82" s="35"/>
      <c r="X82" s="17">
        <v>0</v>
      </c>
      <c r="Y82" s="19">
        <v>0</v>
      </c>
    </row>
    <row r="83" spans="1:25" ht="21" x14ac:dyDescent="0.15">
      <c r="A83" s="26" t="s">
        <v>2056</v>
      </c>
      <c r="B83" s="26">
        <v>4</v>
      </c>
      <c r="C83" s="27" t="s">
        <v>2317</v>
      </c>
      <c r="D83" s="26">
        <v>14</v>
      </c>
      <c r="E83" s="27" t="s">
        <v>2322</v>
      </c>
      <c r="F83" s="34" t="b">
        <v>1</v>
      </c>
      <c r="G83" s="29" t="b">
        <v>1</v>
      </c>
      <c r="H83" s="30"/>
      <c r="I83" s="34"/>
      <c r="J83" s="29"/>
      <c r="K83" s="29"/>
      <c r="L83" s="29"/>
      <c r="M83" s="29"/>
      <c r="N83" s="29"/>
      <c r="O83" s="29"/>
      <c r="P83" s="29"/>
      <c r="Q83" s="29" t="b">
        <v>1</v>
      </c>
      <c r="R83" s="30"/>
      <c r="S83" s="84" t="s">
        <v>86</v>
      </c>
      <c r="T83" s="84" t="s">
        <v>80</v>
      </c>
      <c r="U83" s="31" t="s">
        <v>87</v>
      </c>
      <c r="V83" s="32" t="s">
        <v>88</v>
      </c>
      <c r="W83" s="35"/>
      <c r="X83" s="17">
        <v>0</v>
      </c>
      <c r="Y83" s="19">
        <v>0</v>
      </c>
    </row>
    <row r="84" spans="1:25" ht="21" x14ac:dyDescent="0.15">
      <c r="A84" s="26" t="s">
        <v>2056</v>
      </c>
      <c r="B84" s="26">
        <v>4</v>
      </c>
      <c r="C84" s="27" t="s">
        <v>2317</v>
      </c>
      <c r="D84" s="26">
        <v>14</v>
      </c>
      <c r="E84" s="27" t="s">
        <v>2324</v>
      </c>
      <c r="F84" s="34" t="b">
        <v>1</v>
      </c>
      <c r="G84" s="29" t="b">
        <v>1</v>
      </c>
      <c r="H84" s="30"/>
      <c r="I84" s="34"/>
      <c r="J84" s="29"/>
      <c r="K84" s="29"/>
      <c r="L84" s="29"/>
      <c r="M84" s="29"/>
      <c r="N84" s="29"/>
      <c r="O84" s="29"/>
      <c r="P84" s="29"/>
      <c r="Q84" s="29" t="b">
        <v>1</v>
      </c>
      <c r="R84" s="30"/>
      <c r="S84" s="84" t="s">
        <v>86</v>
      </c>
      <c r="T84" s="84"/>
      <c r="U84" s="31" t="s">
        <v>87</v>
      </c>
      <c r="V84" s="32" t="s">
        <v>88</v>
      </c>
      <c r="W84" s="35"/>
      <c r="X84" s="17">
        <v>0</v>
      </c>
      <c r="Y84" s="19">
        <v>0</v>
      </c>
    </row>
    <row r="85" spans="1:25" ht="21" x14ac:dyDescent="0.15">
      <c r="A85" s="26" t="s">
        <v>2056</v>
      </c>
      <c r="B85" s="26">
        <v>4</v>
      </c>
      <c r="C85" s="27" t="s">
        <v>2317</v>
      </c>
      <c r="D85" s="26">
        <v>14</v>
      </c>
      <c r="E85" s="27" t="s">
        <v>2323</v>
      </c>
      <c r="F85" s="34" t="b">
        <v>1</v>
      </c>
      <c r="G85" s="29" t="b">
        <v>1</v>
      </c>
      <c r="H85" s="30"/>
      <c r="I85" s="34" t="b">
        <v>1</v>
      </c>
      <c r="J85" s="29"/>
      <c r="K85" s="29"/>
      <c r="L85" s="29"/>
      <c r="M85" s="29"/>
      <c r="N85" s="29"/>
      <c r="O85" s="29"/>
      <c r="P85" s="29"/>
      <c r="Q85" s="29" t="b">
        <v>1</v>
      </c>
      <c r="R85" s="30"/>
      <c r="S85" s="84" t="s">
        <v>86</v>
      </c>
      <c r="T85" s="84" t="s">
        <v>80</v>
      </c>
      <c r="U85" s="31" t="s">
        <v>87</v>
      </c>
      <c r="V85" s="32" t="s">
        <v>88</v>
      </c>
      <c r="W85" s="35"/>
      <c r="X85" s="17">
        <v>0</v>
      </c>
      <c r="Y85" s="19">
        <v>0</v>
      </c>
    </row>
    <row r="86" spans="1:25" ht="21" x14ac:dyDescent="0.15">
      <c r="A86" s="26" t="s">
        <v>2056</v>
      </c>
      <c r="B86" s="26">
        <v>4</v>
      </c>
      <c r="C86" s="27" t="s">
        <v>2317</v>
      </c>
      <c r="D86" s="26">
        <v>15</v>
      </c>
      <c r="E86" s="27" t="s">
        <v>2326</v>
      </c>
      <c r="F86" s="34" t="b">
        <v>1</v>
      </c>
      <c r="G86" s="29" t="b">
        <v>1</v>
      </c>
      <c r="H86" s="30"/>
      <c r="I86" s="34" t="b">
        <v>1</v>
      </c>
      <c r="J86" s="29"/>
      <c r="K86" s="29"/>
      <c r="L86" s="29"/>
      <c r="M86" s="29"/>
      <c r="N86" s="29"/>
      <c r="O86" s="29"/>
      <c r="P86" s="29"/>
      <c r="Q86" s="29" t="b">
        <v>1</v>
      </c>
      <c r="R86" s="30"/>
      <c r="S86" s="84"/>
      <c r="T86" s="84"/>
      <c r="U86" s="31" t="s">
        <v>87</v>
      </c>
      <c r="V86" s="32" t="s">
        <v>88</v>
      </c>
      <c r="W86" s="35"/>
      <c r="X86" s="17">
        <v>0</v>
      </c>
      <c r="Y86" s="19">
        <v>0</v>
      </c>
    </row>
    <row r="87" spans="1:25" ht="21" x14ac:dyDescent="0.15">
      <c r="A87" s="26" t="s">
        <v>2056</v>
      </c>
      <c r="B87" s="26">
        <v>4</v>
      </c>
      <c r="C87" s="27" t="s">
        <v>2317</v>
      </c>
      <c r="D87" s="26">
        <v>15</v>
      </c>
      <c r="E87" s="27" t="s">
        <v>2327</v>
      </c>
      <c r="F87" s="34" t="b">
        <v>1</v>
      </c>
      <c r="G87" s="29" t="b">
        <v>1</v>
      </c>
      <c r="H87" s="30"/>
      <c r="I87" s="34"/>
      <c r="J87" s="29"/>
      <c r="K87" s="29"/>
      <c r="L87" s="29"/>
      <c r="M87" s="29"/>
      <c r="N87" s="29"/>
      <c r="O87" s="29"/>
      <c r="P87" s="29"/>
      <c r="Q87" s="29" t="b">
        <v>1</v>
      </c>
      <c r="R87" s="30"/>
      <c r="S87" s="84" t="s">
        <v>86</v>
      </c>
      <c r="T87" s="84" t="s">
        <v>80</v>
      </c>
      <c r="U87" s="31" t="s">
        <v>87</v>
      </c>
      <c r="V87" s="32" t="s">
        <v>88</v>
      </c>
      <c r="W87" s="35"/>
      <c r="X87" s="17">
        <v>0</v>
      </c>
      <c r="Y87" s="19">
        <v>0</v>
      </c>
    </row>
    <row r="88" spans="1:25" ht="21" x14ac:dyDescent="0.15">
      <c r="A88" s="26" t="s">
        <v>2056</v>
      </c>
      <c r="B88" s="26">
        <v>4</v>
      </c>
      <c r="C88" s="27" t="s">
        <v>2317</v>
      </c>
      <c r="D88" s="26">
        <v>16</v>
      </c>
      <c r="E88" s="27" t="s">
        <v>2328</v>
      </c>
      <c r="F88" s="34" t="b">
        <v>1</v>
      </c>
      <c r="G88" s="29" t="b">
        <v>1</v>
      </c>
      <c r="H88" s="30"/>
      <c r="I88" s="34" t="b">
        <v>1</v>
      </c>
      <c r="J88" s="29"/>
      <c r="K88" s="29"/>
      <c r="L88" s="29"/>
      <c r="M88" s="29"/>
      <c r="N88" s="29"/>
      <c r="O88" s="29"/>
      <c r="P88" s="29"/>
      <c r="Q88" s="29" t="b">
        <v>1</v>
      </c>
      <c r="R88" s="30"/>
      <c r="S88" s="84" t="s">
        <v>86</v>
      </c>
      <c r="T88" s="84" t="s">
        <v>80</v>
      </c>
      <c r="U88" s="31" t="s">
        <v>87</v>
      </c>
      <c r="V88" s="32" t="s">
        <v>88</v>
      </c>
      <c r="W88" s="35"/>
      <c r="X88" s="17">
        <v>0</v>
      </c>
      <c r="Y88" s="19">
        <v>0</v>
      </c>
    </row>
    <row r="89" spans="1:25" ht="21" x14ac:dyDescent="0.15">
      <c r="A89" s="26" t="s">
        <v>2056</v>
      </c>
      <c r="B89" s="26">
        <v>4</v>
      </c>
      <c r="C89" s="27" t="s">
        <v>2317</v>
      </c>
      <c r="D89" s="26">
        <v>16</v>
      </c>
      <c r="E89" s="27" t="s">
        <v>2330</v>
      </c>
      <c r="F89" s="34" t="b">
        <v>1</v>
      </c>
      <c r="G89" s="29" t="b">
        <v>1</v>
      </c>
      <c r="H89" s="30"/>
      <c r="I89" s="34" t="b">
        <v>1</v>
      </c>
      <c r="J89" s="29"/>
      <c r="K89" s="29"/>
      <c r="L89" s="29" t="b">
        <v>1</v>
      </c>
      <c r="M89" s="29"/>
      <c r="N89" s="29"/>
      <c r="O89" s="29"/>
      <c r="P89" s="29"/>
      <c r="Q89" s="29" t="b">
        <v>1</v>
      </c>
      <c r="R89" s="30"/>
      <c r="S89" s="84" t="s">
        <v>86</v>
      </c>
      <c r="T89" s="84" t="s">
        <v>80</v>
      </c>
      <c r="U89" s="31"/>
      <c r="V89" s="32" t="s">
        <v>88</v>
      </c>
      <c r="W89" s="35"/>
      <c r="X89" s="17">
        <v>0</v>
      </c>
      <c r="Y89" s="19">
        <v>0</v>
      </c>
    </row>
    <row r="90" spans="1:25" ht="21" x14ac:dyDescent="0.15">
      <c r="A90" s="26" t="s">
        <v>2056</v>
      </c>
      <c r="B90" s="26">
        <v>4</v>
      </c>
      <c r="C90" s="27" t="s">
        <v>2317</v>
      </c>
      <c r="D90" s="26">
        <v>16</v>
      </c>
      <c r="E90" s="27" t="s">
        <v>2329</v>
      </c>
      <c r="F90" s="34" t="b">
        <v>1</v>
      </c>
      <c r="G90" s="29" t="b">
        <v>1</v>
      </c>
      <c r="H90" s="30"/>
      <c r="I90" s="34" t="b">
        <v>1</v>
      </c>
      <c r="J90" s="29"/>
      <c r="K90" s="29"/>
      <c r="L90" s="29"/>
      <c r="M90" s="29"/>
      <c r="N90" s="29"/>
      <c r="O90" s="29"/>
      <c r="P90" s="29"/>
      <c r="Q90" s="29" t="b">
        <v>1</v>
      </c>
      <c r="R90" s="30"/>
      <c r="S90" s="84"/>
      <c r="T90" s="84" t="s">
        <v>80</v>
      </c>
      <c r="U90" s="31" t="s">
        <v>87</v>
      </c>
      <c r="V90" s="32"/>
      <c r="W90" s="35"/>
      <c r="X90" s="17">
        <v>0</v>
      </c>
      <c r="Y90" s="19">
        <v>0</v>
      </c>
    </row>
    <row r="91" spans="1:25" ht="28" x14ac:dyDescent="0.15">
      <c r="A91" s="26" t="s">
        <v>2056</v>
      </c>
      <c r="B91" s="26">
        <v>5</v>
      </c>
      <c r="C91" s="27" t="s">
        <v>2331</v>
      </c>
      <c r="D91" s="26">
        <v>18</v>
      </c>
      <c r="E91" s="27" t="s">
        <v>2332</v>
      </c>
      <c r="F91" s="34" t="b">
        <v>1</v>
      </c>
      <c r="G91" s="29" t="b">
        <v>1</v>
      </c>
      <c r="H91" s="30"/>
      <c r="I91" s="34"/>
      <c r="J91" s="29"/>
      <c r="K91" s="29"/>
      <c r="L91" s="29"/>
      <c r="M91" s="29"/>
      <c r="N91" s="29"/>
      <c r="O91" s="29"/>
      <c r="P91" s="29"/>
      <c r="Q91" s="29" t="b">
        <v>1</v>
      </c>
      <c r="R91" s="30"/>
      <c r="S91" s="84" t="s">
        <v>86</v>
      </c>
      <c r="T91" s="84" t="s">
        <v>80</v>
      </c>
      <c r="U91" s="31" t="s">
        <v>87</v>
      </c>
      <c r="V91" s="32" t="s">
        <v>88</v>
      </c>
      <c r="W91" s="35"/>
      <c r="X91" s="17">
        <v>1</v>
      </c>
      <c r="Y91" s="19">
        <v>0</v>
      </c>
    </row>
    <row r="92" spans="1:25" ht="28" x14ac:dyDescent="0.15">
      <c r="A92" s="26" t="s">
        <v>2056</v>
      </c>
      <c r="B92" s="26">
        <v>5</v>
      </c>
      <c r="C92" s="27" t="s">
        <v>2331</v>
      </c>
      <c r="D92" s="26">
        <v>18</v>
      </c>
      <c r="E92" s="27" t="s">
        <v>2335</v>
      </c>
      <c r="F92" s="34" t="b">
        <v>1</v>
      </c>
      <c r="G92" s="29" t="b">
        <v>1</v>
      </c>
      <c r="H92" s="30"/>
      <c r="I92" s="34"/>
      <c r="J92" s="29"/>
      <c r="K92" s="29"/>
      <c r="L92" s="29"/>
      <c r="M92" s="29"/>
      <c r="N92" s="29"/>
      <c r="O92" s="29"/>
      <c r="P92" s="29"/>
      <c r="Q92" s="29" t="b">
        <v>1</v>
      </c>
      <c r="R92" s="30"/>
      <c r="S92" s="84" t="s">
        <v>86</v>
      </c>
      <c r="T92" s="84" t="s">
        <v>80</v>
      </c>
      <c r="U92" s="31" t="s">
        <v>87</v>
      </c>
      <c r="V92" s="32" t="s">
        <v>88</v>
      </c>
      <c r="W92" s="35"/>
      <c r="X92" s="17">
        <v>1</v>
      </c>
      <c r="Y92" s="19">
        <v>0</v>
      </c>
    </row>
    <row r="93" spans="1:25" ht="28" x14ac:dyDescent="0.15">
      <c r="A93" s="26" t="s">
        <v>2056</v>
      </c>
      <c r="B93" s="26">
        <v>5</v>
      </c>
      <c r="C93" s="27" t="s">
        <v>2331</v>
      </c>
      <c r="D93" s="26">
        <v>18</v>
      </c>
      <c r="E93" s="27" t="s">
        <v>2333</v>
      </c>
      <c r="F93" s="34" t="b">
        <v>1</v>
      </c>
      <c r="G93" s="29" t="b">
        <v>1</v>
      </c>
      <c r="H93" s="30"/>
      <c r="I93" s="34"/>
      <c r="J93" s="29"/>
      <c r="K93" s="29"/>
      <c r="L93" s="29"/>
      <c r="M93" s="29"/>
      <c r="N93" s="29"/>
      <c r="O93" s="29"/>
      <c r="P93" s="29"/>
      <c r="Q93" s="29" t="b">
        <v>1</v>
      </c>
      <c r="R93" s="30"/>
      <c r="S93" s="84" t="s">
        <v>86</v>
      </c>
      <c r="T93" s="84" t="s">
        <v>80</v>
      </c>
      <c r="U93" s="31" t="s">
        <v>87</v>
      </c>
      <c r="V93" s="32"/>
      <c r="W93" s="35"/>
      <c r="X93" s="17">
        <v>1</v>
      </c>
      <c r="Y93" s="19">
        <v>0</v>
      </c>
    </row>
    <row r="94" spans="1:25" ht="28" x14ac:dyDescent="0.15">
      <c r="A94" s="26" t="s">
        <v>2056</v>
      </c>
      <c r="B94" s="26">
        <v>5</v>
      </c>
      <c r="C94" s="27" t="s">
        <v>2331</v>
      </c>
      <c r="D94" s="26">
        <v>18</v>
      </c>
      <c r="E94" s="27" t="s">
        <v>2336</v>
      </c>
      <c r="F94" s="34" t="b">
        <v>1</v>
      </c>
      <c r="G94" s="29" t="b">
        <v>1</v>
      </c>
      <c r="H94" s="30"/>
      <c r="I94" s="34"/>
      <c r="J94" s="29"/>
      <c r="K94" s="29"/>
      <c r="L94" s="29"/>
      <c r="M94" s="29"/>
      <c r="N94" s="29"/>
      <c r="O94" s="29"/>
      <c r="P94" s="29"/>
      <c r="Q94" s="29" t="b">
        <v>1</v>
      </c>
      <c r="R94" s="30"/>
      <c r="S94" s="84" t="s">
        <v>86</v>
      </c>
      <c r="T94" s="84" t="s">
        <v>80</v>
      </c>
      <c r="U94" s="31" t="s">
        <v>87</v>
      </c>
      <c r="V94" s="32" t="s">
        <v>88</v>
      </c>
      <c r="W94" s="35"/>
      <c r="X94" s="17">
        <v>1</v>
      </c>
      <c r="Y94" s="19">
        <v>0</v>
      </c>
    </row>
    <row r="95" spans="1:25" ht="28" x14ac:dyDescent="0.15">
      <c r="A95" s="26" t="s">
        <v>2056</v>
      </c>
      <c r="B95" s="26">
        <v>5</v>
      </c>
      <c r="C95" s="27" t="s">
        <v>2331</v>
      </c>
      <c r="D95" s="26">
        <v>18</v>
      </c>
      <c r="E95" s="27" t="s">
        <v>2334</v>
      </c>
      <c r="F95" s="34" t="b">
        <v>1</v>
      </c>
      <c r="G95" s="29" t="b">
        <v>1</v>
      </c>
      <c r="H95" s="30"/>
      <c r="I95" s="34"/>
      <c r="J95" s="29"/>
      <c r="K95" s="29"/>
      <c r="L95" s="29"/>
      <c r="M95" s="29"/>
      <c r="N95" s="29"/>
      <c r="O95" s="29"/>
      <c r="P95" s="29"/>
      <c r="Q95" s="29" t="b">
        <v>1</v>
      </c>
      <c r="R95" s="30"/>
      <c r="S95" s="84" t="s">
        <v>86</v>
      </c>
      <c r="T95" s="84" t="s">
        <v>80</v>
      </c>
      <c r="U95" s="31" t="s">
        <v>87</v>
      </c>
      <c r="V95" s="32" t="s">
        <v>88</v>
      </c>
      <c r="W95" s="35"/>
      <c r="X95" s="17">
        <v>1</v>
      </c>
      <c r="Y95" s="19">
        <v>0</v>
      </c>
    </row>
    <row r="96" spans="1:25" ht="28" x14ac:dyDescent="0.15">
      <c r="A96" s="26" t="s">
        <v>2056</v>
      </c>
      <c r="B96" s="26">
        <v>5</v>
      </c>
      <c r="C96" s="27" t="s">
        <v>2331</v>
      </c>
      <c r="D96" s="26">
        <v>19</v>
      </c>
      <c r="E96" s="27" t="s">
        <v>2337</v>
      </c>
      <c r="F96" s="34" t="b">
        <v>1</v>
      </c>
      <c r="G96" s="29" t="b">
        <v>1</v>
      </c>
      <c r="H96" s="30"/>
      <c r="I96" s="34"/>
      <c r="J96" s="29"/>
      <c r="K96" s="29"/>
      <c r="L96" s="29"/>
      <c r="M96" s="29"/>
      <c r="N96" s="29"/>
      <c r="O96" s="29"/>
      <c r="P96" s="29"/>
      <c r="Q96" s="29" t="b">
        <v>1</v>
      </c>
      <c r="R96" s="30"/>
      <c r="S96" s="84" t="s">
        <v>86</v>
      </c>
      <c r="T96" s="84" t="s">
        <v>80</v>
      </c>
      <c r="U96" s="31" t="s">
        <v>87</v>
      </c>
      <c r="V96" s="32" t="s">
        <v>88</v>
      </c>
      <c r="W96" s="35"/>
      <c r="X96" s="17">
        <v>1</v>
      </c>
      <c r="Y96" s="19">
        <v>0</v>
      </c>
    </row>
    <row r="97" spans="1:25" ht="28" x14ac:dyDescent="0.15">
      <c r="A97" s="26" t="s">
        <v>2056</v>
      </c>
      <c r="B97" s="26">
        <v>5</v>
      </c>
      <c r="C97" s="27" t="s">
        <v>2331</v>
      </c>
      <c r="D97" s="26">
        <v>19</v>
      </c>
      <c r="E97" s="27" t="s">
        <v>2339</v>
      </c>
      <c r="F97" s="34" t="b">
        <v>1</v>
      </c>
      <c r="G97" s="29" t="b">
        <v>1</v>
      </c>
      <c r="H97" s="30"/>
      <c r="I97" s="34"/>
      <c r="J97" s="29"/>
      <c r="K97" s="29"/>
      <c r="L97" s="29"/>
      <c r="M97" s="29"/>
      <c r="N97" s="29"/>
      <c r="O97" s="29"/>
      <c r="P97" s="29"/>
      <c r="Q97" s="29" t="b">
        <v>1</v>
      </c>
      <c r="R97" s="30"/>
      <c r="S97" s="84" t="s">
        <v>86</v>
      </c>
      <c r="T97" s="84" t="s">
        <v>80</v>
      </c>
      <c r="U97" s="31" t="s">
        <v>87</v>
      </c>
      <c r="V97" s="32" t="s">
        <v>88</v>
      </c>
      <c r="W97" s="35"/>
      <c r="X97" s="17">
        <v>1</v>
      </c>
      <c r="Y97" s="19">
        <v>0</v>
      </c>
    </row>
    <row r="98" spans="1:25" ht="28" x14ac:dyDescent="0.15">
      <c r="A98" s="26" t="s">
        <v>2056</v>
      </c>
      <c r="B98" s="26">
        <v>5</v>
      </c>
      <c r="C98" s="27" t="s">
        <v>2331</v>
      </c>
      <c r="D98" s="26">
        <v>19</v>
      </c>
      <c r="E98" s="27" t="s">
        <v>2338</v>
      </c>
      <c r="F98" s="34" t="b">
        <v>1</v>
      </c>
      <c r="G98" s="29" t="b">
        <v>1</v>
      </c>
      <c r="H98" s="30"/>
      <c r="I98" s="34" t="b">
        <v>1</v>
      </c>
      <c r="J98" s="29"/>
      <c r="K98" s="29"/>
      <c r="L98" s="29"/>
      <c r="M98" s="29"/>
      <c r="N98" s="29"/>
      <c r="O98" s="29"/>
      <c r="P98" s="29"/>
      <c r="Q98" s="29" t="b">
        <v>1</v>
      </c>
      <c r="R98" s="30"/>
      <c r="S98" s="84"/>
      <c r="T98" s="84"/>
      <c r="U98" s="31"/>
      <c r="V98" s="32"/>
      <c r="W98" s="35"/>
      <c r="X98" s="17">
        <v>1</v>
      </c>
      <c r="Y98" s="19">
        <v>0</v>
      </c>
    </row>
    <row r="99" spans="1:25" ht="28" x14ac:dyDescent="0.15">
      <c r="A99" s="26" t="s">
        <v>2056</v>
      </c>
      <c r="B99" s="26">
        <v>5</v>
      </c>
      <c r="C99" s="27" t="s">
        <v>2331</v>
      </c>
      <c r="D99" s="26">
        <v>20</v>
      </c>
      <c r="E99" s="27" t="s">
        <v>2343</v>
      </c>
      <c r="F99" s="34" t="b">
        <v>1</v>
      </c>
      <c r="G99" s="29" t="b">
        <v>1</v>
      </c>
      <c r="H99" s="30"/>
      <c r="I99" s="34"/>
      <c r="J99" s="29"/>
      <c r="K99" s="29"/>
      <c r="L99" s="29"/>
      <c r="M99" s="29"/>
      <c r="N99" s="29"/>
      <c r="O99" s="29"/>
      <c r="P99" s="29"/>
      <c r="Q99" s="29" t="b">
        <v>1</v>
      </c>
      <c r="R99" s="30"/>
      <c r="S99" s="84"/>
      <c r="T99" s="84" t="s">
        <v>80</v>
      </c>
      <c r="U99" s="31" t="s">
        <v>87</v>
      </c>
      <c r="V99" s="32" t="s">
        <v>88</v>
      </c>
      <c r="W99" s="35"/>
      <c r="X99" s="17">
        <v>1</v>
      </c>
      <c r="Y99" s="19">
        <v>0</v>
      </c>
    </row>
    <row r="100" spans="1:25" ht="28" x14ac:dyDescent="0.15">
      <c r="A100" s="26" t="s">
        <v>2056</v>
      </c>
      <c r="B100" s="26">
        <v>5</v>
      </c>
      <c r="C100" s="27" t="s">
        <v>2331</v>
      </c>
      <c r="D100" s="26">
        <v>20</v>
      </c>
      <c r="E100" s="27" t="s">
        <v>2341</v>
      </c>
      <c r="F100" s="34" t="b">
        <v>1</v>
      </c>
      <c r="G100" s="29" t="b">
        <v>1</v>
      </c>
      <c r="H100" s="30"/>
      <c r="I100" s="34"/>
      <c r="J100" s="29"/>
      <c r="K100" s="29"/>
      <c r="L100" s="29"/>
      <c r="M100" s="29"/>
      <c r="N100" s="29"/>
      <c r="O100" s="29"/>
      <c r="P100" s="29"/>
      <c r="Q100" s="29" t="b">
        <v>1</v>
      </c>
      <c r="R100" s="30"/>
      <c r="S100" s="84" t="s">
        <v>86</v>
      </c>
      <c r="T100" s="84" t="s">
        <v>80</v>
      </c>
      <c r="U100" s="31" t="s">
        <v>87</v>
      </c>
      <c r="V100" s="32" t="s">
        <v>88</v>
      </c>
      <c r="W100" s="35"/>
      <c r="X100" s="17">
        <v>1</v>
      </c>
      <c r="Y100" s="19">
        <v>0</v>
      </c>
    </row>
    <row r="101" spans="1:25" ht="28" x14ac:dyDescent="0.15">
      <c r="A101" s="26" t="s">
        <v>2056</v>
      </c>
      <c r="B101" s="26">
        <v>5</v>
      </c>
      <c r="C101" s="27" t="s">
        <v>2331</v>
      </c>
      <c r="D101" s="26">
        <v>20</v>
      </c>
      <c r="E101" s="27" t="s">
        <v>2340</v>
      </c>
      <c r="F101" s="34" t="b">
        <v>1</v>
      </c>
      <c r="G101" s="29" t="b">
        <v>1</v>
      </c>
      <c r="H101" s="30"/>
      <c r="I101" s="34"/>
      <c r="J101" s="29"/>
      <c r="K101" s="29"/>
      <c r="L101" s="29"/>
      <c r="M101" s="29"/>
      <c r="N101" s="29"/>
      <c r="O101" s="29"/>
      <c r="P101" s="29"/>
      <c r="Q101" s="29" t="b">
        <v>1</v>
      </c>
      <c r="R101" s="30"/>
      <c r="S101" s="84" t="s">
        <v>86</v>
      </c>
      <c r="T101" s="84" t="s">
        <v>80</v>
      </c>
      <c r="U101" s="31" t="s">
        <v>87</v>
      </c>
      <c r="V101" s="32" t="s">
        <v>88</v>
      </c>
      <c r="W101" s="35"/>
      <c r="X101" s="17">
        <v>1</v>
      </c>
      <c r="Y101" s="19">
        <v>0</v>
      </c>
    </row>
    <row r="102" spans="1:25" ht="28" x14ac:dyDescent="0.15">
      <c r="A102" s="26" t="s">
        <v>2056</v>
      </c>
      <c r="B102" s="26">
        <v>5</v>
      </c>
      <c r="C102" s="27" t="s">
        <v>2331</v>
      </c>
      <c r="D102" s="26">
        <v>20</v>
      </c>
      <c r="E102" s="27" t="s">
        <v>2342</v>
      </c>
      <c r="F102" s="34" t="b">
        <v>1</v>
      </c>
      <c r="G102" s="29" t="b">
        <v>1</v>
      </c>
      <c r="H102" s="30"/>
      <c r="I102" s="34"/>
      <c r="J102" s="29"/>
      <c r="K102" s="29"/>
      <c r="L102" s="29"/>
      <c r="M102" s="29"/>
      <c r="N102" s="29"/>
      <c r="O102" s="29"/>
      <c r="P102" s="29"/>
      <c r="Q102" s="29" t="b">
        <v>1</v>
      </c>
      <c r="R102" s="30"/>
      <c r="S102" s="84"/>
      <c r="T102" s="84"/>
      <c r="U102" s="31" t="s">
        <v>87</v>
      </c>
      <c r="V102" s="32"/>
      <c r="W102" s="35"/>
      <c r="X102" s="17">
        <v>1</v>
      </c>
      <c r="Y102" s="19">
        <v>0</v>
      </c>
    </row>
    <row r="103" spans="1:25" ht="28" x14ac:dyDescent="0.15">
      <c r="A103" s="26" t="s">
        <v>2056</v>
      </c>
      <c r="B103" s="26">
        <v>5</v>
      </c>
      <c r="C103" s="27" t="s">
        <v>2331</v>
      </c>
      <c r="D103" s="26">
        <v>21</v>
      </c>
      <c r="E103" s="27" t="s">
        <v>2345</v>
      </c>
      <c r="F103" s="34" t="b">
        <v>1</v>
      </c>
      <c r="G103" s="29" t="b">
        <v>1</v>
      </c>
      <c r="H103" s="30"/>
      <c r="I103" s="34" t="b">
        <v>1</v>
      </c>
      <c r="J103" s="29"/>
      <c r="K103" s="29"/>
      <c r="L103" s="29"/>
      <c r="M103" s="29"/>
      <c r="N103" s="29"/>
      <c r="O103" s="29"/>
      <c r="P103" s="29"/>
      <c r="Q103" s="29"/>
      <c r="R103" s="30"/>
      <c r="S103" s="84" t="s">
        <v>86</v>
      </c>
      <c r="T103" s="84" t="s">
        <v>80</v>
      </c>
      <c r="U103" s="31" t="s">
        <v>87</v>
      </c>
      <c r="V103" s="32" t="s">
        <v>88</v>
      </c>
      <c r="W103" s="35"/>
      <c r="X103" s="17">
        <v>1</v>
      </c>
      <c r="Y103" s="19">
        <v>0</v>
      </c>
    </row>
    <row r="104" spans="1:25" ht="28" x14ac:dyDescent="0.15">
      <c r="A104" s="26" t="s">
        <v>2056</v>
      </c>
      <c r="B104" s="26">
        <v>5</v>
      </c>
      <c r="C104" s="27" t="s">
        <v>2331</v>
      </c>
      <c r="D104" s="26">
        <v>21</v>
      </c>
      <c r="E104" s="27" t="s">
        <v>2346</v>
      </c>
      <c r="F104" s="34" t="b">
        <v>1</v>
      </c>
      <c r="G104" s="29" t="b">
        <v>1</v>
      </c>
      <c r="H104" s="30"/>
      <c r="I104" s="34" t="b">
        <v>1</v>
      </c>
      <c r="J104" s="29"/>
      <c r="K104" s="29"/>
      <c r="L104" s="29" t="b">
        <v>1</v>
      </c>
      <c r="M104" s="29"/>
      <c r="N104" s="29"/>
      <c r="O104" s="29"/>
      <c r="P104" s="29"/>
      <c r="Q104" s="29" t="b">
        <v>1</v>
      </c>
      <c r="R104" s="30"/>
      <c r="S104" s="84" t="s">
        <v>86</v>
      </c>
      <c r="T104" s="84" t="s">
        <v>80</v>
      </c>
      <c r="U104" s="31" t="s">
        <v>87</v>
      </c>
      <c r="V104" s="32" t="s">
        <v>88</v>
      </c>
      <c r="W104" s="35"/>
      <c r="X104" s="17">
        <v>1</v>
      </c>
      <c r="Y104" s="19">
        <v>0</v>
      </c>
    </row>
    <row r="105" spans="1:25" ht="28" x14ac:dyDescent="0.15">
      <c r="A105" s="26" t="s">
        <v>2056</v>
      </c>
      <c r="B105" s="26">
        <v>5</v>
      </c>
      <c r="C105" s="27" t="s">
        <v>2331</v>
      </c>
      <c r="D105" s="26">
        <v>21</v>
      </c>
      <c r="E105" s="27" t="s">
        <v>2344</v>
      </c>
      <c r="F105" s="34" t="b">
        <v>1</v>
      </c>
      <c r="G105" s="29" t="b">
        <v>1</v>
      </c>
      <c r="H105" s="30"/>
      <c r="I105" s="34" t="b">
        <v>1</v>
      </c>
      <c r="J105" s="29"/>
      <c r="K105" s="29"/>
      <c r="L105" s="29"/>
      <c r="M105" s="29"/>
      <c r="N105" s="29"/>
      <c r="O105" s="29"/>
      <c r="P105" s="29"/>
      <c r="Q105" s="29" t="b">
        <v>1</v>
      </c>
      <c r="R105" s="30"/>
      <c r="S105" s="84" t="s">
        <v>86</v>
      </c>
      <c r="T105" s="84" t="s">
        <v>80</v>
      </c>
      <c r="U105" s="31" t="s">
        <v>87</v>
      </c>
      <c r="V105" s="32" t="s">
        <v>88</v>
      </c>
      <c r="W105" s="35"/>
      <c r="X105" s="17">
        <v>1</v>
      </c>
      <c r="Y105" s="19">
        <v>0</v>
      </c>
    </row>
    <row r="106" spans="1:25" ht="28" x14ac:dyDescent="0.15">
      <c r="A106" s="26" t="s">
        <v>2056</v>
      </c>
      <c r="B106" s="26">
        <v>5</v>
      </c>
      <c r="C106" s="27" t="s">
        <v>2331</v>
      </c>
      <c r="D106" s="26">
        <v>22</v>
      </c>
      <c r="E106" s="27" t="s">
        <v>2347</v>
      </c>
      <c r="F106" s="34" t="b">
        <v>1</v>
      </c>
      <c r="G106" s="29" t="b">
        <v>1</v>
      </c>
      <c r="H106" s="30"/>
      <c r="I106" s="34"/>
      <c r="J106" s="29"/>
      <c r="K106" s="29"/>
      <c r="L106" s="29"/>
      <c r="M106" s="29"/>
      <c r="N106" s="29"/>
      <c r="O106" s="29"/>
      <c r="P106" s="29"/>
      <c r="Q106" s="29" t="b">
        <v>1</v>
      </c>
      <c r="R106" s="30"/>
      <c r="S106" s="84"/>
      <c r="T106" s="84"/>
      <c r="U106" s="31" t="s">
        <v>87</v>
      </c>
      <c r="V106" s="32"/>
      <c r="W106" s="35"/>
      <c r="X106" s="17">
        <v>1</v>
      </c>
      <c r="Y106" s="19">
        <v>0</v>
      </c>
    </row>
    <row r="107" spans="1:25" ht="28" x14ac:dyDescent="0.15">
      <c r="A107" s="26" t="s">
        <v>2056</v>
      </c>
      <c r="B107" s="26">
        <v>5</v>
      </c>
      <c r="C107" s="27" t="s">
        <v>2331</v>
      </c>
      <c r="D107" s="26">
        <v>22</v>
      </c>
      <c r="E107" s="27" t="s">
        <v>2348</v>
      </c>
      <c r="F107" s="34" t="b">
        <v>1</v>
      </c>
      <c r="G107" s="29" t="b">
        <v>1</v>
      </c>
      <c r="H107" s="30"/>
      <c r="I107" s="34"/>
      <c r="J107" s="29"/>
      <c r="K107" s="29"/>
      <c r="L107" s="29"/>
      <c r="M107" s="29"/>
      <c r="N107" s="29"/>
      <c r="O107" s="29"/>
      <c r="P107" s="29"/>
      <c r="Q107" s="29" t="b">
        <v>1</v>
      </c>
      <c r="R107" s="30"/>
      <c r="S107" s="84" t="s">
        <v>86</v>
      </c>
      <c r="T107" s="84" t="s">
        <v>80</v>
      </c>
      <c r="U107" s="31" t="s">
        <v>87</v>
      </c>
      <c r="V107" s="32" t="s">
        <v>88</v>
      </c>
      <c r="W107" s="35"/>
      <c r="X107" s="17">
        <v>1</v>
      </c>
      <c r="Y107" s="19">
        <v>0</v>
      </c>
    </row>
    <row r="108" spans="1:25" ht="42" x14ac:dyDescent="0.15">
      <c r="A108" s="26" t="s">
        <v>2056</v>
      </c>
      <c r="B108" s="26">
        <v>5</v>
      </c>
      <c r="C108" s="27" t="s">
        <v>2331</v>
      </c>
      <c r="D108" s="26">
        <v>22</v>
      </c>
      <c r="E108" s="27" t="s">
        <v>2349</v>
      </c>
      <c r="F108" s="34" t="b">
        <v>1</v>
      </c>
      <c r="G108" s="29" t="b">
        <v>1</v>
      </c>
      <c r="H108" s="30"/>
      <c r="I108" s="34"/>
      <c r="J108" s="29"/>
      <c r="K108" s="29"/>
      <c r="L108" s="29"/>
      <c r="M108" s="29"/>
      <c r="N108" s="29"/>
      <c r="O108" s="29"/>
      <c r="P108" s="29"/>
      <c r="Q108" s="29" t="b">
        <v>1</v>
      </c>
      <c r="R108" s="30"/>
      <c r="S108" s="84" t="s">
        <v>73</v>
      </c>
      <c r="T108" s="84" t="s">
        <v>84</v>
      </c>
      <c r="U108" s="31"/>
      <c r="V108" s="32"/>
      <c r="W108" s="35" t="s">
        <v>89</v>
      </c>
      <c r="X108" s="17">
        <v>1</v>
      </c>
      <c r="Y108" s="19">
        <v>0</v>
      </c>
    </row>
    <row r="109" spans="1:25" ht="42" x14ac:dyDescent="0.15">
      <c r="A109" s="26" t="s">
        <v>2056</v>
      </c>
      <c r="B109" s="26">
        <v>5</v>
      </c>
      <c r="C109" s="27" t="s">
        <v>2331</v>
      </c>
      <c r="D109" s="26">
        <v>23</v>
      </c>
      <c r="E109" s="27" t="s">
        <v>2350</v>
      </c>
      <c r="F109" s="34" t="b">
        <v>1</v>
      </c>
      <c r="G109" s="29" t="b">
        <v>1</v>
      </c>
      <c r="H109" s="30"/>
      <c r="I109" s="34"/>
      <c r="J109" s="29"/>
      <c r="K109" s="29"/>
      <c r="L109" s="29"/>
      <c r="M109" s="29"/>
      <c r="N109" s="29"/>
      <c r="O109" s="29"/>
      <c r="P109" s="29"/>
      <c r="Q109" s="29" t="b">
        <v>1</v>
      </c>
      <c r="R109" s="30"/>
      <c r="S109" s="84" t="s">
        <v>73</v>
      </c>
      <c r="T109" s="84" t="s">
        <v>84</v>
      </c>
      <c r="U109" s="31" t="s">
        <v>75</v>
      </c>
      <c r="V109" s="32" t="s">
        <v>85</v>
      </c>
      <c r="W109" s="35" t="s">
        <v>89</v>
      </c>
      <c r="X109" s="17">
        <v>1</v>
      </c>
      <c r="Y109" s="19">
        <v>0</v>
      </c>
    </row>
    <row r="110" spans="1:25" ht="42" x14ac:dyDescent="0.15">
      <c r="A110" s="26" t="s">
        <v>2056</v>
      </c>
      <c r="B110" s="26">
        <v>5</v>
      </c>
      <c r="C110" s="27" t="s">
        <v>2331</v>
      </c>
      <c r="D110" s="26">
        <v>23</v>
      </c>
      <c r="E110" s="27" t="s">
        <v>2351</v>
      </c>
      <c r="F110" s="34" t="b">
        <v>1</v>
      </c>
      <c r="G110" s="29" t="b">
        <v>1</v>
      </c>
      <c r="H110" s="30"/>
      <c r="I110" s="34"/>
      <c r="J110" s="29"/>
      <c r="K110" s="29"/>
      <c r="L110" s="29"/>
      <c r="M110" s="29"/>
      <c r="N110" s="29"/>
      <c r="O110" s="29"/>
      <c r="P110" s="29"/>
      <c r="Q110" s="29" t="b">
        <v>1</v>
      </c>
      <c r="R110" s="30"/>
      <c r="S110" s="84" t="s">
        <v>73</v>
      </c>
      <c r="T110" s="84" t="s">
        <v>84</v>
      </c>
      <c r="U110" s="31" t="s">
        <v>75</v>
      </c>
      <c r="V110" s="32" t="s">
        <v>90</v>
      </c>
      <c r="W110" s="35" t="s">
        <v>89</v>
      </c>
      <c r="X110" s="17">
        <v>1</v>
      </c>
      <c r="Y110" s="19">
        <v>0</v>
      </c>
    </row>
    <row r="111" spans="1:25" ht="42" x14ac:dyDescent="0.15">
      <c r="A111" s="26" t="s">
        <v>2056</v>
      </c>
      <c r="B111" s="26">
        <v>5</v>
      </c>
      <c r="C111" s="27" t="s">
        <v>2331</v>
      </c>
      <c r="D111" s="26">
        <v>23</v>
      </c>
      <c r="E111" s="27" t="s">
        <v>2352</v>
      </c>
      <c r="F111" s="34" t="b">
        <v>1</v>
      </c>
      <c r="G111" s="29" t="b">
        <v>1</v>
      </c>
      <c r="H111" s="30"/>
      <c r="I111" s="34" t="b">
        <v>1</v>
      </c>
      <c r="J111" s="29"/>
      <c r="K111" s="29"/>
      <c r="L111" s="29" t="b">
        <v>1</v>
      </c>
      <c r="M111" s="29"/>
      <c r="N111" s="29"/>
      <c r="O111" s="29"/>
      <c r="P111" s="29"/>
      <c r="Q111" s="29" t="b">
        <v>1</v>
      </c>
      <c r="R111" s="30"/>
      <c r="S111" s="84" t="s">
        <v>73</v>
      </c>
      <c r="T111" s="84" t="s">
        <v>84</v>
      </c>
      <c r="U111" s="36" t="s">
        <v>75</v>
      </c>
      <c r="V111" s="37" t="s">
        <v>90</v>
      </c>
      <c r="W111" s="35" t="s">
        <v>89</v>
      </c>
      <c r="X111" s="17">
        <v>1</v>
      </c>
      <c r="Y111" s="19">
        <v>0</v>
      </c>
    </row>
    <row r="112" spans="1:25" ht="21" x14ac:dyDescent="0.15">
      <c r="A112" s="26" t="s">
        <v>2056</v>
      </c>
      <c r="B112" s="26">
        <v>6</v>
      </c>
      <c r="C112" s="27" t="s">
        <v>2402</v>
      </c>
      <c r="D112" s="26">
        <v>1</v>
      </c>
      <c r="E112" s="27" t="s">
        <v>2060</v>
      </c>
      <c r="F112" s="34" t="b">
        <v>1</v>
      </c>
      <c r="G112" s="29" t="b">
        <v>1</v>
      </c>
      <c r="H112" s="30"/>
      <c r="I112" s="34" t="b">
        <v>1</v>
      </c>
      <c r="J112" s="29"/>
      <c r="K112" s="29"/>
      <c r="L112" s="29"/>
      <c r="M112" s="29"/>
      <c r="N112" s="29"/>
      <c r="O112" s="29"/>
      <c r="P112" s="29"/>
      <c r="Q112" s="29"/>
      <c r="R112" s="30"/>
      <c r="S112" s="84" t="s">
        <v>29</v>
      </c>
      <c r="T112" s="84" t="s">
        <v>91</v>
      </c>
      <c r="U112" s="31"/>
      <c r="V112" s="32" t="s">
        <v>71</v>
      </c>
      <c r="W112" s="35" t="s">
        <v>89</v>
      </c>
      <c r="X112" s="17">
        <v>0</v>
      </c>
      <c r="Y112" s="19">
        <v>0</v>
      </c>
    </row>
    <row r="113" spans="1:25" ht="28" x14ac:dyDescent="0.15">
      <c r="A113" s="26" t="s">
        <v>2056</v>
      </c>
      <c r="B113" s="26">
        <v>6</v>
      </c>
      <c r="C113" s="27" t="s">
        <v>2402</v>
      </c>
      <c r="D113" s="26">
        <v>1</v>
      </c>
      <c r="E113" s="27" t="s">
        <v>2058</v>
      </c>
      <c r="F113" s="34" t="b">
        <v>1</v>
      </c>
      <c r="G113" s="29" t="b">
        <v>1</v>
      </c>
      <c r="H113" s="30"/>
      <c r="I113" s="34" t="b">
        <v>1</v>
      </c>
      <c r="J113" s="29"/>
      <c r="K113" s="29"/>
      <c r="L113" s="29"/>
      <c r="M113" s="29"/>
      <c r="N113" s="29"/>
      <c r="O113" s="29"/>
      <c r="P113" s="29"/>
      <c r="Q113" s="29"/>
      <c r="R113" s="30"/>
      <c r="S113" s="84" t="s">
        <v>29</v>
      </c>
      <c r="T113" s="84" t="s">
        <v>91</v>
      </c>
      <c r="U113" s="31" t="s">
        <v>92</v>
      </c>
      <c r="V113" s="32" t="s">
        <v>71</v>
      </c>
      <c r="W113" s="35" t="s">
        <v>89</v>
      </c>
      <c r="X113" s="17">
        <v>0</v>
      </c>
      <c r="Y113" s="19">
        <v>0</v>
      </c>
    </row>
    <row r="114" spans="1:25" ht="28" x14ac:dyDescent="0.15">
      <c r="A114" s="26" t="s">
        <v>2056</v>
      </c>
      <c r="B114" s="26">
        <v>6</v>
      </c>
      <c r="C114" s="27" t="s">
        <v>2402</v>
      </c>
      <c r="D114" s="26">
        <v>1</v>
      </c>
      <c r="E114" s="27" t="s">
        <v>2059</v>
      </c>
      <c r="F114" s="34" t="b">
        <v>1</v>
      </c>
      <c r="G114" s="29" t="b">
        <v>1</v>
      </c>
      <c r="H114" s="30"/>
      <c r="I114" s="34" t="b">
        <v>1</v>
      </c>
      <c r="J114" s="29"/>
      <c r="K114" s="29"/>
      <c r="L114" s="29"/>
      <c r="M114" s="29"/>
      <c r="N114" s="29"/>
      <c r="O114" s="29"/>
      <c r="P114" s="29"/>
      <c r="Q114" s="29"/>
      <c r="R114" s="30"/>
      <c r="S114" s="84" t="s">
        <v>29</v>
      </c>
      <c r="T114" s="84" t="s">
        <v>93</v>
      </c>
      <c r="U114" s="31" t="s">
        <v>92</v>
      </c>
      <c r="V114" s="32" t="s">
        <v>71</v>
      </c>
      <c r="W114" s="35" t="s">
        <v>89</v>
      </c>
      <c r="X114" s="17">
        <v>0</v>
      </c>
      <c r="Y114" s="19">
        <v>0</v>
      </c>
    </row>
    <row r="115" spans="1:25" ht="28" x14ac:dyDescent="0.15">
      <c r="A115" s="26" t="s">
        <v>2056</v>
      </c>
      <c r="B115" s="26">
        <v>6</v>
      </c>
      <c r="C115" s="27" t="s">
        <v>2402</v>
      </c>
      <c r="D115" s="26">
        <v>2</v>
      </c>
      <c r="E115" s="27" t="s">
        <v>2063</v>
      </c>
      <c r="F115" s="34" t="b">
        <v>1</v>
      </c>
      <c r="G115" s="29" t="b">
        <v>1</v>
      </c>
      <c r="H115" s="30"/>
      <c r="I115" s="34" t="b">
        <v>1</v>
      </c>
      <c r="J115" s="29"/>
      <c r="K115" s="29"/>
      <c r="L115" s="29"/>
      <c r="M115" s="29"/>
      <c r="N115" s="29"/>
      <c r="O115" s="29"/>
      <c r="P115" s="29"/>
      <c r="Q115" s="29"/>
      <c r="R115" s="30"/>
      <c r="S115" s="84" t="s">
        <v>29</v>
      </c>
      <c r="T115" s="84" t="s">
        <v>93</v>
      </c>
      <c r="U115" s="31" t="s">
        <v>92</v>
      </c>
      <c r="V115" s="32" t="s">
        <v>94</v>
      </c>
      <c r="W115" s="35" t="s">
        <v>89</v>
      </c>
      <c r="X115" s="17">
        <v>0</v>
      </c>
      <c r="Y115" s="19">
        <v>0</v>
      </c>
    </row>
    <row r="116" spans="1:25" ht="42" x14ac:dyDescent="0.15">
      <c r="A116" s="26" t="s">
        <v>2056</v>
      </c>
      <c r="B116" s="26">
        <v>6</v>
      </c>
      <c r="C116" s="27" t="s">
        <v>2402</v>
      </c>
      <c r="D116" s="26">
        <v>2</v>
      </c>
      <c r="E116" s="27" t="s">
        <v>2061</v>
      </c>
      <c r="F116" s="34" t="b">
        <v>1</v>
      </c>
      <c r="G116" s="29" t="b">
        <v>1</v>
      </c>
      <c r="H116" s="30"/>
      <c r="I116" s="34" t="b">
        <v>1</v>
      </c>
      <c r="J116" s="29"/>
      <c r="K116" s="29"/>
      <c r="L116" s="29"/>
      <c r="M116" s="29"/>
      <c r="N116" s="29"/>
      <c r="O116" s="29"/>
      <c r="P116" s="29"/>
      <c r="Q116" s="29" t="b">
        <v>1</v>
      </c>
      <c r="R116" s="30"/>
      <c r="S116" s="84"/>
      <c r="T116" s="84" t="s">
        <v>84</v>
      </c>
      <c r="U116" s="36"/>
      <c r="V116" s="37" t="s">
        <v>94</v>
      </c>
      <c r="W116" s="35" t="s">
        <v>89</v>
      </c>
      <c r="X116" s="17">
        <v>0</v>
      </c>
      <c r="Y116" s="19">
        <v>0</v>
      </c>
    </row>
    <row r="117" spans="1:25" ht="28" x14ac:dyDescent="0.15">
      <c r="A117" s="26" t="s">
        <v>2056</v>
      </c>
      <c r="B117" s="26">
        <v>6</v>
      </c>
      <c r="C117" s="27" t="s">
        <v>2402</v>
      </c>
      <c r="D117" s="26">
        <v>2</v>
      </c>
      <c r="E117" s="27" t="s">
        <v>2062</v>
      </c>
      <c r="F117" s="34" t="b">
        <v>1</v>
      </c>
      <c r="G117" s="29" t="b">
        <v>1</v>
      </c>
      <c r="H117" s="30"/>
      <c r="I117" s="34" t="b">
        <v>1</v>
      </c>
      <c r="J117" s="29"/>
      <c r="K117" s="29"/>
      <c r="L117" s="29"/>
      <c r="M117" s="29"/>
      <c r="N117" s="29"/>
      <c r="O117" s="29"/>
      <c r="P117" s="29"/>
      <c r="Q117" s="29"/>
      <c r="R117" s="30"/>
      <c r="S117" s="84" t="s">
        <v>29</v>
      </c>
      <c r="T117" s="84" t="s">
        <v>91</v>
      </c>
      <c r="U117" s="31" t="s">
        <v>92</v>
      </c>
      <c r="V117" s="32" t="s">
        <v>71</v>
      </c>
      <c r="W117" s="35" t="s">
        <v>89</v>
      </c>
      <c r="X117" s="17">
        <v>0</v>
      </c>
      <c r="Y117" s="19">
        <v>0</v>
      </c>
    </row>
    <row r="118" spans="1:25" ht="28" x14ac:dyDescent="0.15">
      <c r="A118" s="26" t="s">
        <v>2056</v>
      </c>
      <c r="B118" s="26">
        <v>6</v>
      </c>
      <c r="C118" s="27" t="s">
        <v>2402</v>
      </c>
      <c r="D118" s="26">
        <v>3</v>
      </c>
      <c r="E118" s="27" t="s">
        <v>2065</v>
      </c>
      <c r="F118" s="34" t="b">
        <v>1</v>
      </c>
      <c r="G118" s="29" t="b">
        <v>1</v>
      </c>
      <c r="H118" s="30"/>
      <c r="I118" s="34" t="b">
        <v>1</v>
      </c>
      <c r="J118" s="29"/>
      <c r="K118" s="29"/>
      <c r="L118" s="29"/>
      <c r="M118" s="29"/>
      <c r="N118" s="29"/>
      <c r="O118" s="29"/>
      <c r="P118" s="29"/>
      <c r="Q118" s="29" t="b">
        <v>1</v>
      </c>
      <c r="R118" s="30"/>
      <c r="S118" s="84" t="s">
        <v>29</v>
      </c>
      <c r="T118" s="84" t="s">
        <v>91</v>
      </c>
      <c r="U118" s="31" t="s">
        <v>92</v>
      </c>
      <c r="V118" s="32" t="s">
        <v>71</v>
      </c>
      <c r="W118" s="35" t="s">
        <v>89</v>
      </c>
      <c r="X118" s="17">
        <v>0</v>
      </c>
      <c r="Y118" s="19">
        <v>0</v>
      </c>
    </row>
    <row r="119" spans="1:25" ht="28" x14ac:dyDescent="0.15">
      <c r="A119" s="26" t="s">
        <v>2056</v>
      </c>
      <c r="B119" s="26">
        <v>6</v>
      </c>
      <c r="C119" s="27" t="s">
        <v>2402</v>
      </c>
      <c r="D119" s="26">
        <v>3</v>
      </c>
      <c r="E119" s="27" t="s">
        <v>2064</v>
      </c>
      <c r="F119" s="34" t="b">
        <v>1</v>
      </c>
      <c r="G119" s="29" t="b">
        <v>1</v>
      </c>
      <c r="H119" s="30"/>
      <c r="I119" s="34" t="b">
        <v>1</v>
      </c>
      <c r="J119" s="29"/>
      <c r="K119" s="29"/>
      <c r="L119" s="29"/>
      <c r="M119" s="29"/>
      <c r="N119" s="29"/>
      <c r="O119" s="29"/>
      <c r="P119" s="29"/>
      <c r="Q119" s="29"/>
      <c r="R119" s="30"/>
      <c r="S119" s="84" t="s">
        <v>29</v>
      </c>
      <c r="T119" s="84"/>
      <c r="U119" s="36" t="s">
        <v>92</v>
      </c>
      <c r="V119" s="37" t="s">
        <v>71</v>
      </c>
      <c r="W119" s="35" t="s">
        <v>89</v>
      </c>
      <c r="X119" s="17">
        <v>0</v>
      </c>
      <c r="Y119" s="19">
        <v>0</v>
      </c>
    </row>
    <row r="120" spans="1:25" ht="28" x14ac:dyDescent="0.15">
      <c r="A120" s="26" t="s">
        <v>2056</v>
      </c>
      <c r="B120" s="26">
        <v>7</v>
      </c>
      <c r="C120" s="27" t="s">
        <v>2353</v>
      </c>
      <c r="D120" s="26">
        <v>25</v>
      </c>
      <c r="E120" s="27" t="s">
        <v>2354</v>
      </c>
      <c r="F120" s="34" t="b">
        <v>1</v>
      </c>
      <c r="G120" s="29" t="b">
        <v>1</v>
      </c>
      <c r="H120" s="30"/>
      <c r="I120" s="34"/>
      <c r="J120" s="29"/>
      <c r="K120" s="29" t="b">
        <v>1</v>
      </c>
      <c r="L120" s="29"/>
      <c r="M120" s="29"/>
      <c r="N120" s="29"/>
      <c r="O120" s="29"/>
      <c r="P120" s="29"/>
      <c r="Q120" s="29" t="b">
        <v>1</v>
      </c>
      <c r="R120" s="30"/>
      <c r="S120" s="84" t="s">
        <v>29</v>
      </c>
      <c r="T120" s="84" t="s">
        <v>91</v>
      </c>
      <c r="U120" s="31" t="s">
        <v>92</v>
      </c>
      <c r="V120" s="32" t="s">
        <v>71</v>
      </c>
      <c r="W120" s="35" t="s">
        <v>89</v>
      </c>
      <c r="X120" s="17">
        <v>1</v>
      </c>
      <c r="Y120" s="19">
        <v>0</v>
      </c>
    </row>
    <row r="121" spans="1:25" ht="28" x14ac:dyDescent="0.15">
      <c r="A121" s="26" t="s">
        <v>2056</v>
      </c>
      <c r="B121" s="26">
        <v>7</v>
      </c>
      <c r="C121" s="27" t="s">
        <v>2353</v>
      </c>
      <c r="D121" s="26">
        <v>25</v>
      </c>
      <c r="E121" s="27" t="s">
        <v>2355</v>
      </c>
      <c r="F121" s="34" t="b">
        <v>1</v>
      </c>
      <c r="G121" s="29" t="b">
        <v>1</v>
      </c>
      <c r="H121" s="30"/>
      <c r="I121" s="34"/>
      <c r="J121" s="29"/>
      <c r="K121" s="29"/>
      <c r="L121" s="29"/>
      <c r="M121" s="29"/>
      <c r="N121" s="29" t="b">
        <v>1</v>
      </c>
      <c r="O121" s="29"/>
      <c r="P121" s="29"/>
      <c r="Q121" s="29" t="b">
        <v>1</v>
      </c>
      <c r="R121" s="30"/>
      <c r="S121" s="84" t="s">
        <v>29</v>
      </c>
      <c r="T121" s="84" t="s">
        <v>91</v>
      </c>
      <c r="U121" s="31" t="s">
        <v>92</v>
      </c>
      <c r="V121" s="32" t="s">
        <v>71</v>
      </c>
      <c r="W121" s="35" t="s">
        <v>89</v>
      </c>
      <c r="X121" s="17">
        <v>1</v>
      </c>
      <c r="Y121" s="19">
        <v>0</v>
      </c>
    </row>
    <row r="122" spans="1:25" ht="28" x14ac:dyDescent="0.15">
      <c r="A122" s="26" t="s">
        <v>2056</v>
      </c>
      <c r="B122" s="26">
        <v>7</v>
      </c>
      <c r="C122" s="27" t="s">
        <v>2353</v>
      </c>
      <c r="D122" s="26">
        <v>25</v>
      </c>
      <c r="E122" s="27" t="s">
        <v>2356</v>
      </c>
      <c r="F122" s="34" t="b">
        <v>1</v>
      </c>
      <c r="G122" s="29" t="b">
        <v>1</v>
      </c>
      <c r="H122" s="30"/>
      <c r="I122" s="34"/>
      <c r="J122" s="29"/>
      <c r="K122" s="29"/>
      <c r="L122" s="29"/>
      <c r="M122" s="29"/>
      <c r="N122" s="29" t="b">
        <v>1</v>
      </c>
      <c r="O122" s="29"/>
      <c r="P122" s="29"/>
      <c r="Q122" s="29" t="b">
        <v>1</v>
      </c>
      <c r="R122" s="30"/>
      <c r="S122" s="84" t="s">
        <v>29</v>
      </c>
      <c r="T122" s="84" t="s">
        <v>91</v>
      </c>
      <c r="U122" s="31" t="s">
        <v>92</v>
      </c>
      <c r="V122" s="32" t="s">
        <v>71</v>
      </c>
      <c r="W122" s="35" t="s">
        <v>89</v>
      </c>
      <c r="X122" s="17">
        <v>1</v>
      </c>
      <c r="Y122" s="19">
        <v>0</v>
      </c>
    </row>
    <row r="123" spans="1:25" ht="28" x14ac:dyDescent="0.15">
      <c r="A123" s="26" t="s">
        <v>2056</v>
      </c>
      <c r="B123" s="26">
        <v>7</v>
      </c>
      <c r="C123" s="27" t="s">
        <v>2353</v>
      </c>
      <c r="D123" s="26">
        <v>26</v>
      </c>
      <c r="E123" s="27" t="s">
        <v>2357</v>
      </c>
      <c r="F123" s="34" t="b">
        <v>1</v>
      </c>
      <c r="G123" s="29" t="b">
        <v>1</v>
      </c>
      <c r="H123" s="30"/>
      <c r="I123" s="34"/>
      <c r="J123" s="29"/>
      <c r="K123" s="29"/>
      <c r="L123" s="29"/>
      <c r="M123" s="29"/>
      <c r="N123" s="29"/>
      <c r="O123" s="29"/>
      <c r="P123" s="29"/>
      <c r="Q123" s="29" t="b">
        <v>1</v>
      </c>
      <c r="R123" s="30"/>
      <c r="S123" s="84" t="s">
        <v>29</v>
      </c>
      <c r="T123" s="84" t="s">
        <v>91</v>
      </c>
      <c r="U123" s="36" t="s">
        <v>92</v>
      </c>
      <c r="V123" s="37" t="s">
        <v>71</v>
      </c>
      <c r="W123" s="35" t="s">
        <v>89</v>
      </c>
      <c r="X123" s="17">
        <v>1</v>
      </c>
      <c r="Y123" s="19">
        <v>0</v>
      </c>
    </row>
    <row r="124" spans="1:25" ht="28" x14ac:dyDescent="0.15">
      <c r="A124" s="26" t="s">
        <v>2056</v>
      </c>
      <c r="B124" s="26">
        <v>7</v>
      </c>
      <c r="C124" s="27" t="s">
        <v>2353</v>
      </c>
      <c r="D124" s="26">
        <v>26</v>
      </c>
      <c r="E124" s="27" t="s">
        <v>2359</v>
      </c>
      <c r="F124" s="34" t="b">
        <v>1</v>
      </c>
      <c r="G124" s="29" t="b">
        <v>1</v>
      </c>
      <c r="H124" s="30"/>
      <c r="I124" s="34"/>
      <c r="J124" s="29"/>
      <c r="K124" s="29"/>
      <c r="L124" s="29"/>
      <c r="M124" s="29"/>
      <c r="N124" s="29"/>
      <c r="O124" s="29"/>
      <c r="P124" s="29"/>
      <c r="Q124" s="29" t="b">
        <v>1</v>
      </c>
      <c r="R124" s="30"/>
      <c r="S124" s="84"/>
      <c r="T124" s="84"/>
      <c r="U124" s="31" t="s">
        <v>92</v>
      </c>
      <c r="V124" s="32" t="s">
        <v>71</v>
      </c>
      <c r="W124" s="35"/>
      <c r="X124" s="17">
        <v>1</v>
      </c>
      <c r="Y124" s="19">
        <v>0</v>
      </c>
    </row>
    <row r="125" spans="1:25" ht="28" x14ac:dyDescent="0.15">
      <c r="A125" s="26" t="s">
        <v>2056</v>
      </c>
      <c r="B125" s="26">
        <v>7</v>
      </c>
      <c r="C125" s="27" t="s">
        <v>2353</v>
      </c>
      <c r="D125" s="26">
        <v>26</v>
      </c>
      <c r="E125" s="27" t="s">
        <v>2358</v>
      </c>
      <c r="F125" s="34" t="b">
        <v>1</v>
      </c>
      <c r="G125" s="29" t="b">
        <v>1</v>
      </c>
      <c r="H125" s="30"/>
      <c r="I125" s="34"/>
      <c r="J125" s="29"/>
      <c r="K125" s="29"/>
      <c r="L125" s="29"/>
      <c r="M125" s="29"/>
      <c r="N125" s="29"/>
      <c r="O125" s="29"/>
      <c r="P125" s="29"/>
      <c r="Q125" s="29" t="b">
        <v>1</v>
      </c>
      <c r="R125" s="30"/>
      <c r="S125" s="84" t="s">
        <v>29</v>
      </c>
      <c r="T125" s="84" t="s">
        <v>93</v>
      </c>
      <c r="U125" s="31" t="s">
        <v>92</v>
      </c>
      <c r="V125" s="32"/>
      <c r="W125" s="35"/>
      <c r="X125" s="17">
        <v>1</v>
      </c>
      <c r="Y125" s="19">
        <v>0</v>
      </c>
    </row>
    <row r="126" spans="1:25" ht="28" x14ac:dyDescent="0.15">
      <c r="A126" s="26" t="s">
        <v>2056</v>
      </c>
      <c r="B126" s="26">
        <v>7</v>
      </c>
      <c r="C126" s="27" t="s">
        <v>2353</v>
      </c>
      <c r="D126" s="26">
        <v>27</v>
      </c>
      <c r="E126" s="27" t="s">
        <v>2360</v>
      </c>
      <c r="F126" s="34" t="b">
        <v>1</v>
      </c>
      <c r="G126" s="29" t="b">
        <v>1</v>
      </c>
      <c r="H126" s="30"/>
      <c r="I126" s="34"/>
      <c r="J126" s="29"/>
      <c r="K126" s="29"/>
      <c r="L126" s="29"/>
      <c r="M126" s="29"/>
      <c r="N126" s="29"/>
      <c r="O126" s="29"/>
      <c r="P126" s="29"/>
      <c r="Q126" s="29" t="b">
        <v>1</v>
      </c>
      <c r="R126" s="30"/>
      <c r="S126" s="84" t="s">
        <v>69</v>
      </c>
      <c r="T126" s="84" t="s">
        <v>26</v>
      </c>
      <c r="U126" s="31" t="s">
        <v>92</v>
      </c>
      <c r="V126" s="32" t="s">
        <v>72</v>
      </c>
      <c r="W126" s="35"/>
      <c r="X126" s="17">
        <v>1</v>
      </c>
      <c r="Y126" s="19">
        <v>0</v>
      </c>
    </row>
    <row r="127" spans="1:25" ht="28" x14ac:dyDescent="0.15">
      <c r="A127" s="26" t="s">
        <v>2056</v>
      </c>
      <c r="B127" s="26">
        <v>7</v>
      </c>
      <c r="C127" s="27" t="s">
        <v>2353</v>
      </c>
      <c r="D127" s="26">
        <v>27</v>
      </c>
      <c r="E127" s="27" t="s">
        <v>2362</v>
      </c>
      <c r="F127" s="34" t="b">
        <v>1</v>
      </c>
      <c r="G127" s="29" t="b">
        <v>1</v>
      </c>
      <c r="H127" s="30"/>
      <c r="I127" s="34"/>
      <c r="J127" s="29"/>
      <c r="K127" s="29"/>
      <c r="L127" s="29"/>
      <c r="M127" s="29" t="b">
        <v>1</v>
      </c>
      <c r="N127" s="29"/>
      <c r="O127" s="29"/>
      <c r="P127" s="29"/>
      <c r="Q127" s="29" t="b">
        <v>1</v>
      </c>
      <c r="R127" s="30"/>
      <c r="S127" s="84" t="s">
        <v>69</v>
      </c>
      <c r="T127" s="84" t="s">
        <v>26</v>
      </c>
      <c r="U127" s="31" t="s">
        <v>92</v>
      </c>
      <c r="V127" s="32" t="s">
        <v>72</v>
      </c>
      <c r="W127" s="35"/>
      <c r="X127" s="17">
        <v>1</v>
      </c>
      <c r="Y127" s="19">
        <v>0</v>
      </c>
    </row>
    <row r="128" spans="1:25" ht="28" x14ac:dyDescent="0.15">
      <c r="A128" s="26" t="s">
        <v>2056</v>
      </c>
      <c r="B128" s="26">
        <v>7</v>
      </c>
      <c r="C128" s="27" t="s">
        <v>2353</v>
      </c>
      <c r="D128" s="26">
        <v>27</v>
      </c>
      <c r="E128" s="27" t="s">
        <v>2361</v>
      </c>
      <c r="F128" s="34" t="b">
        <v>1</v>
      </c>
      <c r="G128" s="29" t="b">
        <v>1</v>
      </c>
      <c r="H128" s="30"/>
      <c r="I128" s="34"/>
      <c r="J128" s="29"/>
      <c r="K128" s="29"/>
      <c r="L128" s="29"/>
      <c r="M128" s="29"/>
      <c r="N128" s="29"/>
      <c r="O128" s="29"/>
      <c r="P128" s="29"/>
      <c r="Q128" s="29" t="b">
        <v>1</v>
      </c>
      <c r="R128" s="30"/>
      <c r="S128" s="84" t="s">
        <v>69</v>
      </c>
      <c r="T128" s="84" t="s">
        <v>26</v>
      </c>
      <c r="U128" s="31" t="s">
        <v>92</v>
      </c>
      <c r="V128" s="32" t="s">
        <v>72</v>
      </c>
      <c r="W128" s="35"/>
      <c r="X128" s="17">
        <v>1</v>
      </c>
      <c r="Y128" s="19">
        <v>0</v>
      </c>
    </row>
    <row r="129" spans="1:25" ht="28" x14ac:dyDescent="0.15">
      <c r="A129" s="26" t="s">
        <v>2056</v>
      </c>
      <c r="B129" s="26">
        <v>7</v>
      </c>
      <c r="C129" s="27" t="s">
        <v>2353</v>
      </c>
      <c r="D129" s="26">
        <v>28</v>
      </c>
      <c r="E129" s="27" t="s">
        <v>2363</v>
      </c>
      <c r="F129" s="34" t="b">
        <v>1</v>
      </c>
      <c r="G129" s="29" t="b">
        <v>1</v>
      </c>
      <c r="H129" s="30"/>
      <c r="I129" s="34"/>
      <c r="J129" s="29"/>
      <c r="K129" s="29"/>
      <c r="L129" s="29"/>
      <c r="M129" s="29"/>
      <c r="N129" s="29"/>
      <c r="O129" s="29"/>
      <c r="P129" s="29"/>
      <c r="Q129" s="29" t="b">
        <v>1</v>
      </c>
      <c r="R129" s="30"/>
      <c r="S129" s="84"/>
      <c r="T129" s="84"/>
      <c r="U129" s="31" t="s">
        <v>92</v>
      </c>
      <c r="V129" s="32" t="s">
        <v>72</v>
      </c>
      <c r="W129" s="35"/>
      <c r="X129" s="17">
        <v>1</v>
      </c>
      <c r="Y129" s="19">
        <v>0</v>
      </c>
    </row>
    <row r="130" spans="1:25" ht="28" x14ac:dyDescent="0.15">
      <c r="A130" s="26" t="s">
        <v>2056</v>
      </c>
      <c r="B130" s="26">
        <v>7</v>
      </c>
      <c r="C130" s="27" t="s">
        <v>2353</v>
      </c>
      <c r="D130" s="26">
        <v>29</v>
      </c>
      <c r="E130" s="27" t="s">
        <v>2368</v>
      </c>
      <c r="F130" s="34" t="b">
        <v>1</v>
      </c>
      <c r="G130" s="29" t="b">
        <v>1</v>
      </c>
      <c r="H130" s="30"/>
      <c r="I130" s="34"/>
      <c r="J130" s="29"/>
      <c r="K130" s="29"/>
      <c r="L130" s="29"/>
      <c r="M130" s="29"/>
      <c r="N130" s="29"/>
      <c r="O130" s="29"/>
      <c r="P130" s="29"/>
      <c r="Q130" s="29" t="b">
        <v>1</v>
      </c>
      <c r="R130" s="30"/>
      <c r="S130" s="84"/>
      <c r="T130" s="84"/>
      <c r="U130" s="31"/>
      <c r="V130" s="32"/>
      <c r="W130" s="35"/>
      <c r="X130" s="17">
        <v>1</v>
      </c>
      <c r="Y130" s="19">
        <v>0</v>
      </c>
    </row>
    <row r="131" spans="1:25" ht="28" x14ac:dyDescent="0.15">
      <c r="A131" s="26" t="s">
        <v>2056</v>
      </c>
      <c r="B131" s="26">
        <v>7</v>
      </c>
      <c r="C131" s="27" t="s">
        <v>2353</v>
      </c>
      <c r="D131" s="26">
        <v>29</v>
      </c>
      <c r="E131" s="27" t="s">
        <v>2364</v>
      </c>
      <c r="F131" s="34" t="b">
        <v>1</v>
      </c>
      <c r="G131" s="29" t="b">
        <v>1</v>
      </c>
      <c r="H131" s="30"/>
      <c r="I131" s="34"/>
      <c r="J131" s="29"/>
      <c r="K131" s="29"/>
      <c r="L131" s="29"/>
      <c r="M131" s="29" t="b">
        <v>1</v>
      </c>
      <c r="N131" s="29"/>
      <c r="O131" s="29"/>
      <c r="P131" s="29"/>
      <c r="Q131" s="29" t="b">
        <v>1</v>
      </c>
      <c r="R131" s="30"/>
      <c r="S131" s="84" t="s">
        <v>29</v>
      </c>
      <c r="T131" s="84" t="s">
        <v>91</v>
      </c>
      <c r="U131" s="31" t="s">
        <v>92</v>
      </c>
      <c r="V131" s="32" t="s">
        <v>71</v>
      </c>
      <c r="W131" s="35"/>
      <c r="X131" s="17">
        <v>1</v>
      </c>
      <c r="Y131" s="19">
        <v>0</v>
      </c>
    </row>
    <row r="132" spans="1:25" ht="28" x14ac:dyDescent="0.15">
      <c r="A132" s="26" t="s">
        <v>2056</v>
      </c>
      <c r="B132" s="26">
        <v>7</v>
      </c>
      <c r="C132" s="27" t="s">
        <v>2353</v>
      </c>
      <c r="D132" s="26">
        <v>29</v>
      </c>
      <c r="E132" s="27" t="s">
        <v>2365</v>
      </c>
      <c r="F132" s="34" t="b">
        <v>1</v>
      </c>
      <c r="G132" s="29" t="b">
        <v>1</v>
      </c>
      <c r="H132" s="30"/>
      <c r="I132" s="34"/>
      <c r="J132" s="29"/>
      <c r="K132" s="29"/>
      <c r="L132" s="29"/>
      <c r="M132" s="29" t="b">
        <v>1</v>
      </c>
      <c r="N132" s="29"/>
      <c r="O132" s="29"/>
      <c r="P132" s="29"/>
      <c r="Q132" s="29" t="b">
        <v>1</v>
      </c>
      <c r="R132" s="30"/>
      <c r="S132" s="84" t="s">
        <v>29</v>
      </c>
      <c r="T132" s="84" t="s">
        <v>91</v>
      </c>
      <c r="U132" s="31"/>
      <c r="V132" s="32" t="s">
        <v>71</v>
      </c>
      <c r="W132" s="35"/>
      <c r="X132" s="17">
        <v>1</v>
      </c>
      <c r="Y132" s="19">
        <v>0</v>
      </c>
    </row>
    <row r="133" spans="1:25" ht="28" x14ac:dyDescent="0.15">
      <c r="A133" s="26" t="s">
        <v>2056</v>
      </c>
      <c r="B133" s="26">
        <v>7</v>
      </c>
      <c r="C133" s="27" t="s">
        <v>2353</v>
      </c>
      <c r="D133" s="26">
        <v>29</v>
      </c>
      <c r="E133" s="27" t="s">
        <v>2366</v>
      </c>
      <c r="F133" s="34" t="b">
        <v>1</v>
      </c>
      <c r="G133" s="29" t="b">
        <v>1</v>
      </c>
      <c r="H133" s="30"/>
      <c r="I133" s="34"/>
      <c r="J133" s="29"/>
      <c r="K133" s="29"/>
      <c r="L133" s="29"/>
      <c r="M133" s="29" t="b">
        <v>1</v>
      </c>
      <c r="N133" s="29"/>
      <c r="O133" s="29"/>
      <c r="P133" s="29"/>
      <c r="Q133" s="29" t="b">
        <v>1</v>
      </c>
      <c r="R133" s="30"/>
      <c r="S133" s="84" t="s">
        <v>29</v>
      </c>
      <c r="T133" s="84" t="s">
        <v>91</v>
      </c>
      <c r="U133" s="31" t="s">
        <v>92</v>
      </c>
      <c r="V133" s="32" t="s">
        <v>71</v>
      </c>
      <c r="W133" s="35"/>
      <c r="X133" s="17">
        <v>1</v>
      </c>
      <c r="Y133" s="19">
        <v>0</v>
      </c>
    </row>
    <row r="134" spans="1:25" ht="28" x14ac:dyDescent="0.15">
      <c r="A134" s="26" t="s">
        <v>2056</v>
      </c>
      <c r="B134" s="26">
        <v>7</v>
      </c>
      <c r="C134" s="27" t="s">
        <v>2353</v>
      </c>
      <c r="D134" s="26">
        <v>29</v>
      </c>
      <c r="E134" s="27" t="s">
        <v>2367</v>
      </c>
      <c r="F134" s="34" t="b">
        <v>1</v>
      </c>
      <c r="G134" s="29" t="b">
        <v>1</v>
      </c>
      <c r="H134" s="30"/>
      <c r="I134" s="34"/>
      <c r="J134" s="29"/>
      <c r="K134" s="29"/>
      <c r="L134" s="29"/>
      <c r="M134" s="29"/>
      <c r="N134" s="29"/>
      <c r="O134" s="29"/>
      <c r="P134" s="29"/>
      <c r="Q134" s="29" t="b">
        <v>1</v>
      </c>
      <c r="R134" s="30"/>
      <c r="S134" s="84" t="s">
        <v>29</v>
      </c>
      <c r="T134" s="84" t="s">
        <v>91</v>
      </c>
      <c r="U134" s="31" t="s">
        <v>92</v>
      </c>
      <c r="V134" s="32" t="s">
        <v>71</v>
      </c>
      <c r="W134" s="35"/>
      <c r="X134" s="17">
        <v>1</v>
      </c>
      <c r="Y134" s="19">
        <v>0</v>
      </c>
    </row>
    <row r="135" spans="1:25" ht="28" x14ac:dyDescent="0.15">
      <c r="A135" s="26" t="s">
        <v>2056</v>
      </c>
      <c r="B135" s="26">
        <v>7</v>
      </c>
      <c r="C135" s="27" t="s">
        <v>2353</v>
      </c>
      <c r="D135" s="26">
        <v>30</v>
      </c>
      <c r="E135" s="27" t="s">
        <v>2371</v>
      </c>
      <c r="F135" s="34" t="b">
        <v>1</v>
      </c>
      <c r="G135" s="29" t="b">
        <v>1</v>
      </c>
      <c r="H135" s="30"/>
      <c r="I135" s="34"/>
      <c r="J135" s="29"/>
      <c r="K135" s="29"/>
      <c r="L135" s="29"/>
      <c r="M135" s="29"/>
      <c r="N135" s="29"/>
      <c r="O135" s="29"/>
      <c r="P135" s="29"/>
      <c r="Q135" s="29" t="b">
        <v>1</v>
      </c>
      <c r="R135" s="30"/>
      <c r="S135" s="84"/>
      <c r="T135" s="84" t="s">
        <v>91</v>
      </c>
      <c r="U135" s="31" t="s">
        <v>92</v>
      </c>
      <c r="V135" s="32" t="s">
        <v>71</v>
      </c>
      <c r="W135" s="35"/>
      <c r="X135" s="17">
        <v>1</v>
      </c>
      <c r="Y135" s="19">
        <v>0</v>
      </c>
    </row>
    <row r="136" spans="1:25" ht="28" x14ac:dyDescent="0.15">
      <c r="A136" s="26" t="s">
        <v>2056</v>
      </c>
      <c r="B136" s="26">
        <v>7</v>
      </c>
      <c r="C136" s="27" t="s">
        <v>2353</v>
      </c>
      <c r="D136" s="26">
        <v>30</v>
      </c>
      <c r="E136" s="27" t="s">
        <v>2372</v>
      </c>
      <c r="F136" s="34" t="b">
        <v>1</v>
      </c>
      <c r="G136" s="29" t="b">
        <v>1</v>
      </c>
      <c r="H136" s="30"/>
      <c r="I136" s="34"/>
      <c r="J136" s="29"/>
      <c r="K136" s="29"/>
      <c r="L136" s="29"/>
      <c r="M136" s="29"/>
      <c r="N136" s="29"/>
      <c r="O136" s="29"/>
      <c r="P136" s="29"/>
      <c r="Q136" s="29" t="b">
        <v>1</v>
      </c>
      <c r="R136" s="30"/>
      <c r="S136" s="84" t="s">
        <v>29</v>
      </c>
      <c r="T136" s="84" t="s">
        <v>91</v>
      </c>
      <c r="U136" s="36" t="s">
        <v>92</v>
      </c>
      <c r="V136" s="37" t="s">
        <v>71</v>
      </c>
      <c r="W136" s="35"/>
      <c r="X136" s="17">
        <v>1</v>
      </c>
      <c r="Y136" s="19">
        <v>0</v>
      </c>
    </row>
    <row r="137" spans="1:25" ht="28" x14ac:dyDescent="0.15">
      <c r="A137" s="26" t="s">
        <v>2056</v>
      </c>
      <c r="B137" s="26">
        <v>7</v>
      </c>
      <c r="C137" s="27" t="s">
        <v>2353</v>
      </c>
      <c r="D137" s="26">
        <v>30</v>
      </c>
      <c r="E137" s="27" t="s">
        <v>2369</v>
      </c>
      <c r="F137" s="34" t="b">
        <v>1</v>
      </c>
      <c r="G137" s="29" t="b">
        <v>1</v>
      </c>
      <c r="H137" s="30"/>
      <c r="I137" s="34" t="b">
        <v>1</v>
      </c>
      <c r="J137" s="29"/>
      <c r="K137" s="29"/>
      <c r="L137" s="29"/>
      <c r="M137" s="29" t="b">
        <v>1</v>
      </c>
      <c r="N137" s="29"/>
      <c r="O137" s="29"/>
      <c r="P137" s="29"/>
      <c r="Q137" s="29" t="b">
        <v>1</v>
      </c>
      <c r="R137" s="30"/>
      <c r="S137" s="84" t="s">
        <v>29</v>
      </c>
      <c r="T137" s="84" t="s">
        <v>91</v>
      </c>
      <c r="U137" s="31" t="s">
        <v>92</v>
      </c>
      <c r="V137" s="32" t="s">
        <v>72</v>
      </c>
      <c r="W137" s="35"/>
      <c r="X137" s="17">
        <v>1</v>
      </c>
      <c r="Y137" s="19">
        <v>0</v>
      </c>
    </row>
    <row r="138" spans="1:25" ht="28" x14ac:dyDescent="0.15">
      <c r="A138" s="26" t="s">
        <v>2056</v>
      </c>
      <c r="B138" s="26">
        <v>7</v>
      </c>
      <c r="C138" s="27" t="s">
        <v>2353</v>
      </c>
      <c r="D138" s="26">
        <v>30</v>
      </c>
      <c r="E138" s="27" t="s">
        <v>2370</v>
      </c>
      <c r="F138" s="34" t="b">
        <v>1</v>
      </c>
      <c r="G138" s="29" t="b">
        <v>1</v>
      </c>
      <c r="H138" s="30"/>
      <c r="I138" s="34"/>
      <c r="J138" s="29"/>
      <c r="K138" s="29"/>
      <c r="L138" s="29"/>
      <c r="M138" s="29"/>
      <c r="N138" s="29"/>
      <c r="O138" s="29"/>
      <c r="P138" s="29"/>
      <c r="Q138" s="29" t="b">
        <v>1</v>
      </c>
      <c r="R138" s="30"/>
      <c r="S138" s="84" t="s">
        <v>29</v>
      </c>
      <c r="T138" s="84" t="s">
        <v>91</v>
      </c>
      <c r="U138" s="31" t="s">
        <v>92</v>
      </c>
      <c r="V138" s="32" t="s">
        <v>71</v>
      </c>
      <c r="W138" s="35"/>
      <c r="X138" s="17">
        <v>1</v>
      </c>
      <c r="Y138" s="19">
        <v>0</v>
      </c>
    </row>
    <row r="139" spans="1:25" ht="28" x14ac:dyDescent="0.15">
      <c r="A139" s="26" t="s">
        <v>2056</v>
      </c>
      <c r="B139" s="26">
        <v>7</v>
      </c>
      <c r="C139" s="27" t="s">
        <v>2353</v>
      </c>
      <c r="D139" s="26">
        <v>31</v>
      </c>
      <c r="E139" s="27" t="s">
        <v>2373</v>
      </c>
      <c r="F139" s="34" t="b">
        <v>1</v>
      </c>
      <c r="G139" s="29" t="b">
        <v>1</v>
      </c>
      <c r="H139" s="30"/>
      <c r="I139" s="34"/>
      <c r="J139" s="29"/>
      <c r="K139" s="29" t="b">
        <v>1</v>
      </c>
      <c r="L139" s="29"/>
      <c r="M139" s="29"/>
      <c r="N139" s="29"/>
      <c r="O139" s="29"/>
      <c r="P139" s="29"/>
      <c r="Q139" s="29" t="b">
        <v>1</v>
      </c>
      <c r="R139" s="30"/>
      <c r="S139" s="84" t="s">
        <v>29</v>
      </c>
      <c r="T139" s="84" t="s">
        <v>91</v>
      </c>
      <c r="U139" s="31" t="s">
        <v>92</v>
      </c>
      <c r="V139" s="32" t="s">
        <v>71</v>
      </c>
      <c r="W139" s="35"/>
      <c r="X139" s="17">
        <v>1</v>
      </c>
      <c r="Y139" s="19">
        <v>0</v>
      </c>
    </row>
    <row r="140" spans="1:25" ht="28" x14ac:dyDescent="0.15">
      <c r="A140" s="26" t="s">
        <v>2056</v>
      </c>
      <c r="B140" s="26">
        <v>7</v>
      </c>
      <c r="C140" s="27" t="s">
        <v>2353</v>
      </c>
      <c r="D140" s="26">
        <v>32</v>
      </c>
      <c r="E140" s="27" t="s">
        <v>2374</v>
      </c>
      <c r="F140" s="34" t="b">
        <v>1</v>
      </c>
      <c r="G140" s="29" t="b">
        <v>1</v>
      </c>
      <c r="H140" s="30"/>
      <c r="I140" s="34"/>
      <c r="J140" s="29"/>
      <c r="K140" s="29"/>
      <c r="L140" s="29"/>
      <c r="M140" s="29"/>
      <c r="N140" s="29"/>
      <c r="O140" s="29"/>
      <c r="P140" s="29"/>
      <c r="Q140" s="29" t="b">
        <v>1</v>
      </c>
      <c r="R140" s="30"/>
      <c r="S140" s="84" t="s">
        <v>29</v>
      </c>
      <c r="T140" s="84" t="s">
        <v>91</v>
      </c>
      <c r="U140" s="31" t="s">
        <v>92</v>
      </c>
      <c r="V140" s="32" t="s">
        <v>71</v>
      </c>
      <c r="W140" s="35"/>
      <c r="X140" s="17">
        <v>1</v>
      </c>
      <c r="Y140" s="19">
        <v>0</v>
      </c>
    </row>
    <row r="141" spans="1:25" ht="28" x14ac:dyDescent="0.15">
      <c r="A141" s="26" t="s">
        <v>2056</v>
      </c>
      <c r="B141" s="26">
        <v>7</v>
      </c>
      <c r="C141" s="27" t="s">
        <v>2353</v>
      </c>
      <c r="D141" s="26">
        <v>33</v>
      </c>
      <c r="E141" s="27" t="s">
        <v>2375</v>
      </c>
      <c r="F141" s="34" t="b">
        <v>1</v>
      </c>
      <c r="G141" s="29" t="b">
        <v>1</v>
      </c>
      <c r="H141" s="30"/>
      <c r="I141" s="34"/>
      <c r="J141" s="29"/>
      <c r="K141" s="29"/>
      <c r="L141" s="29"/>
      <c r="M141" s="29" t="b">
        <v>1</v>
      </c>
      <c r="N141" s="29"/>
      <c r="O141" s="29"/>
      <c r="P141" s="29"/>
      <c r="Q141" s="29" t="b">
        <v>1</v>
      </c>
      <c r="R141" s="30"/>
      <c r="S141" s="84" t="s">
        <v>29</v>
      </c>
      <c r="T141" s="84" t="s">
        <v>91</v>
      </c>
      <c r="U141" s="31" t="s">
        <v>92</v>
      </c>
      <c r="V141" s="32" t="s">
        <v>71</v>
      </c>
      <c r="W141" s="35"/>
      <c r="X141" s="17">
        <v>1</v>
      </c>
      <c r="Y141" s="19">
        <v>0</v>
      </c>
    </row>
    <row r="142" spans="1:25" ht="28" x14ac:dyDescent="0.15">
      <c r="A142" s="26" t="s">
        <v>2056</v>
      </c>
      <c r="B142" s="26">
        <v>7</v>
      </c>
      <c r="C142" s="27" t="s">
        <v>2353</v>
      </c>
      <c r="D142" s="26">
        <v>33</v>
      </c>
      <c r="E142" s="27" t="s">
        <v>2376</v>
      </c>
      <c r="F142" s="34" t="b">
        <v>1</v>
      </c>
      <c r="G142" s="29" t="b">
        <v>1</v>
      </c>
      <c r="H142" s="30"/>
      <c r="I142" s="34"/>
      <c r="J142" s="29"/>
      <c r="K142" s="29"/>
      <c r="L142" s="29"/>
      <c r="M142" s="29"/>
      <c r="N142" s="29"/>
      <c r="O142" s="29"/>
      <c r="P142" s="29"/>
      <c r="Q142" s="29" t="b">
        <v>1</v>
      </c>
      <c r="R142" s="30"/>
      <c r="S142" s="84" t="s">
        <v>29</v>
      </c>
      <c r="T142" s="84" t="s">
        <v>91</v>
      </c>
      <c r="U142" s="31" t="s">
        <v>92</v>
      </c>
      <c r="V142" s="32" t="s">
        <v>71</v>
      </c>
      <c r="W142" s="35"/>
      <c r="X142" s="17">
        <v>1</v>
      </c>
      <c r="Y142" s="19">
        <v>0</v>
      </c>
    </row>
    <row r="143" spans="1:25" ht="28" x14ac:dyDescent="0.15">
      <c r="A143" s="26" t="s">
        <v>2056</v>
      </c>
      <c r="B143" s="26">
        <v>7</v>
      </c>
      <c r="C143" s="27" t="s">
        <v>2353</v>
      </c>
      <c r="D143" s="26">
        <v>34</v>
      </c>
      <c r="E143" s="27" t="s">
        <v>2377</v>
      </c>
      <c r="F143" s="34" t="b">
        <v>1</v>
      </c>
      <c r="G143" s="29" t="b">
        <v>1</v>
      </c>
      <c r="H143" s="30"/>
      <c r="I143" s="34"/>
      <c r="J143" s="29"/>
      <c r="K143" s="29"/>
      <c r="L143" s="29"/>
      <c r="M143" s="29"/>
      <c r="N143" s="29"/>
      <c r="O143" s="29"/>
      <c r="P143" s="29"/>
      <c r="Q143" s="29" t="b">
        <v>1</v>
      </c>
      <c r="R143" s="30"/>
      <c r="S143" s="84" t="s">
        <v>29</v>
      </c>
      <c r="T143" s="84" t="s">
        <v>91</v>
      </c>
      <c r="U143" s="31" t="s">
        <v>92</v>
      </c>
      <c r="V143" s="32" t="s">
        <v>71</v>
      </c>
      <c r="W143" s="35"/>
      <c r="X143" s="17">
        <v>1</v>
      </c>
      <c r="Y143" s="19">
        <v>0</v>
      </c>
    </row>
    <row r="144" spans="1:25" ht="28" x14ac:dyDescent="0.15">
      <c r="A144" s="26" t="s">
        <v>2056</v>
      </c>
      <c r="B144" s="26">
        <v>8</v>
      </c>
      <c r="C144" s="27" t="s">
        <v>2158</v>
      </c>
      <c r="D144" s="26">
        <v>1</v>
      </c>
      <c r="E144" s="27" t="s">
        <v>2160</v>
      </c>
      <c r="F144" s="34" t="b">
        <v>1</v>
      </c>
      <c r="G144" s="29" t="b">
        <v>1</v>
      </c>
      <c r="H144" s="30"/>
      <c r="I144" s="34"/>
      <c r="J144" s="29"/>
      <c r="K144" s="29"/>
      <c r="L144" s="29"/>
      <c r="M144" s="29" t="b">
        <v>1</v>
      </c>
      <c r="N144" s="29"/>
      <c r="O144" s="29"/>
      <c r="P144" s="29"/>
      <c r="Q144" s="29"/>
      <c r="R144" s="30"/>
      <c r="S144" s="84" t="s">
        <v>29</v>
      </c>
      <c r="T144" s="84" t="s">
        <v>91</v>
      </c>
      <c r="U144" s="36" t="s">
        <v>92</v>
      </c>
      <c r="V144" s="37" t="s">
        <v>71</v>
      </c>
      <c r="W144" s="35"/>
      <c r="X144" s="17">
        <v>0</v>
      </c>
      <c r="Y144" s="19">
        <v>0</v>
      </c>
    </row>
    <row r="145" spans="1:25" ht="28" x14ac:dyDescent="0.15">
      <c r="A145" s="26" t="s">
        <v>2056</v>
      </c>
      <c r="B145" s="26">
        <v>8</v>
      </c>
      <c r="C145" s="27" t="s">
        <v>2158</v>
      </c>
      <c r="D145" s="26">
        <v>1</v>
      </c>
      <c r="E145" s="27" t="s">
        <v>2408</v>
      </c>
      <c r="F145" s="34" t="b">
        <v>1</v>
      </c>
      <c r="G145" s="29" t="b">
        <v>1</v>
      </c>
      <c r="H145" s="30"/>
      <c r="I145" s="34"/>
      <c r="J145" s="29"/>
      <c r="K145" s="29"/>
      <c r="L145" s="29"/>
      <c r="M145" s="29" t="b">
        <v>1</v>
      </c>
      <c r="N145" s="29"/>
      <c r="O145" s="29"/>
      <c r="P145" s="29"/>
      <c r="Q145" s="29"/>
      <c r="R145" s="30"/>
      <c r="S145" s="84" t="s">
        <v>29</v>
      </c>
      <c r="T145" s="84" t="s">
        <v>91</v>
      </c>
      <c r="U145" s="31" t="s">
        <v>92</v>
      </c>
      <c r="V145" s="32" t="s">
        <v>71</v>
      </c>
      <c r="W145" s="35"/>
      <c r="X145" s="17">
        <v>0</v>
      </c>
      <c r="Y145" s="19">
        <v>0</v>
      </c>
    </row>
    <row r="146" spans="1:25" ht="28" x14ac:dyDescent="0.15">
      <c r="A146" s="26" t="s">
        <v>2056</v>
      </c>
      <c r="B146" s="26">
        <v>8</v>
      </c>
      <c r="C146" s="27" t="s">
        <v>2158</v>
      </c>
      <c r="D146" s="26">
        <v>1</v>
      </c>
      <c r="E146" s="27" t="s">
        <v>2159</v>
      </c>
      <c r="F146" s="34" t="b">
        <v>1</v>
      </c>
      <c r="G146" s="29" t="b">
        <v>1</v>
      </c>
      <c r="H146" s="30"/>
      <c r="I146" s="34"/>
      <c r="J146" s="29"/>
      <c r="K146" s="29"/>
      <c r="L146" s="29"/>
      <c r="M146" s="29" t="b">
        <v>1</v>
      </c>
      <c r="N146" s="29"/>
      <c r="O146" s="29"/>
      <c r="P146" s="29"/>
      <c r="Q146" s="29"/>
      <c r="R146" s="30"/>
      <c r="S146" s="84" t="s">
        <v>29</v>
      </c>
      <c r="T146" s="84" t="s">
        <v>91</v>
      </c>
      <c r="U146" s="31" t="s">
        <v>92</v>
      </c>
      <c r="V146" s="32" t="s">
        <v>71</v>
      </c>
      <c r="W146" s="35"/>
      <c r="X146" s="17">
        <v>0</v>
      </c>
      <c r="Y146" s="19">
        <v>0</v>
      </c>
    </row>
    <row r="147" spans="1:25" ht="28" x14ac:dyDescent="0.15">
      <c r="A147" s="26" t="s">
        <v>2056</v>
      </c>
      <c r="B147" s="26">
        <v>8</v>
      </c>
      <c r="C147" s="27" t="s">
        <v>2158</v>
      </c>
      <c r="D147" s="26">
        <v>2</v>
      </c>
      <c r="E147" s="27" t="s">
        <v>2409</v>
      </c>
      <c r="F147" s="34" t="b">
        <v>1</v>
      </c>
      <c r="G147" s="29" t="b">
        <v>1</v>
      </c>
      <c r="H147" s="30"/>
      <c r="I147" s="34"/>
      <c r="J147" s="29"/>
      <c r="K147" s="29"/>
      <c r="L147" s="29"/>
      <c r="M147" s="29" t="b">
        <v>1</v>
      </c>
      <c r="N147" s="29"/>
      <c r="O147" s="29"/>
      <c r="P147" s="29"/>
      <c r="Q147" s="29"/>
      <c r="R147" s="30"/>
      <c r="S147" s="84" t="s">
        <v>29</v>
      </c>
      <c r="T147" s="84" t="s">
        <v>91</v>
      </c>
      <c r="U147" s="31" t="s">
        <v>92</v>
      </c>
      <c r="V147" s="32" t="s">
        <v>71</v>
      </c>
      <c r="W147" s="35"/>
      <c r="X147" s="17">
        <v>0</v>
      </c>
      <c r="Y147" s="19">
        <v>0</v>
      </c>
    </row>
    <row r="148" spans="1:25" ht="28" x14ac:dyDescent="0.15">
      <c r="A148" s="26" t="s">
        <v>2056</v>
      </c>
      <c r="B148" s="26">
        <v>8</v>
      </c>
      <c r="C148" s="27" t="s">
        <v>2158</v>
      </c>
      <c r="D148" s="26">
        <v>2</v>
      </c>
      <c r="E148" s="27" t="s">
        <v>2410</v>
      </c>
      <c r="F148" s="34" t="b">
        <v>1</v>
      </c>
      <c r="G148" s="29" t="b">
        <v>1</v>
      </c>
      <c r="H148" s="30"/>
      <c r="I148" s="34"/>
      <c r="J148" s="29"/>
      <c r="K148" s="29"/>
      <c r="L148" s="29"/>
      <c r="M148" s="29" t="b">
        <v>1</v>
      </c>
      <c r="N148" s="29"/>
      <c r="O148" s="29"/>
      <c r="P148" s="29"/>
      <c r="Q148" s="29"/>
      <c r="R148" s="30"/>
      <c r="S148" s="84" t="s">
        <v>29</v>
      </c>
      <c r="T148" s="84" t="s">
        <v>91</v>
      </c>
      <c r="U148" s="31" t="s">
        <v>92</v>
      </c>
      <c r="V148" s="32" t="s">
        <v>71</v>
      </c>
      <c r="W148" s="35"/>
      <c r="X148" s="17">
        <v>0</v>
      </c>
      <c r="Y148" s="19">
        <v>0</v>
      </c>
    </row>
    <row r="149" spans="1:25" ht="28" x14ac:dyDescent="0.15">
      <c r="A149" s="26" t="s">
        <v>2056</v>
      </c>
      <c r="B149" s="26">
        <v>8</v>
      </c>
      <c r="C149" s="27" t="s">
        <v>2158</v>
      </c>
      <c r="D149" s="26">
        <v>3</v>
      </c>
      <c r="E149" s="27" t="s">
        <v>2411</v>
      </c>
      <c r="F149" s="34" t="b">
        <v>1</v>
      </c>
      <c r="G149" s="29" t="b">
        <v>1</v>
      </c>
      <c r="H149" s="30"/>
      <c r="I149" s="34"/>
      <c r="J149" s="29"/>
      <c r="K149" s="29"/>
      <c r="L149" s="29"/>
      <c r="M149" s="29" t="b">
        <v>1</v>
      </c>
      <c r="N149" s="29"/>
      <c r="O149" s="29"/>
      <c r="P149" s="29"/>
      <c r="Q149" s="29"/>
      <c r="R149" s="30"/>
      <c r="S149" s="84" t="s">
        <v>29</v>
      </c>
      <c r="T149" s="84" t="s">
        <v>91</v>
      </c>
      <c r="U149" s="31" t="s">
        <v>92</v>
      </c>
      <c r="V149" s="32" t="s">
        <v>71</v>
      </c>
      <c r="W149" s="35"/>
      <c r="X149" s="17">
        <v>0</v>
      </c>
      <c r="Y149" s="19">
        <v>0</v>
      </c>
    </row>
    <row r="150" spans="1:25" ht="28" x14ac:dyDescent="0.15">
      <c r="A150" s="26" t="s">
        <v>2056</v>
      </c>
      <c r="B150" s="26">
        <v>8</v>
      </c>
      <c r="C150" s="27" t="s">
        <v>2158</v>
      </c>
      <c r="D150" s="26">
        <v>3</v>
      </c>
      <c r="E150" s="27" t="s">
        <v>2412</v>
      </c>
      <c r="F150" s="34" t="b">
        <v>1</v>
      </c>
      <c r="G150" s="29" t="b">
        <v>1</v>
      </c>
      <c r="H150" s="30"/>
      <c r="I150" s="34"/>
      <c r="J150" s="29"/>
      <c r="K150" s="29"/>
      <c r="L150" s="29"/>
      <c r="M150" s="29" t="b">
        <v>1</v>
      </c>
      <c r="N150" s="29"/>
      <c r="O150" s="29"/>
      <c r="P150" s="29"/>
      <c r="Q150" s="29"/>
      <c r="R150" s="30"/>
      <c r="S150" s="84" t="s">
        <v>29</v>
      </c>
      <c r="T150" s="84" t="s">
        <v>91</v>
      </c>
      <c r="U150" s="31" t="s">
        <v>92</v>
      </c>
      <c r="V150" s="32" t="s">
        <v>71</v>
      </c>
      <c r="W150" s="35"/>
      <c r="X150" s="17">
        <v>0</v>
      </c>
      <c r="Y150" s="19">
        <v>0</v>
      </c>
    </row>
    <row r="151" spans="1:25" ht="28" x14ac:dyDescent="0.15">
      <c r="A151" s="26" t="s">
        <v>2056</v>
      </c>
      <c r="B151" s="26">
        <v>8</v>
      </c>
      <c r="C151" s="27" t="s">
        <v>2158</v>
      </c>
      <c r="D151" s="26">
        <v>3</v>
      </c>
      <c r="E151" s="27" t="s">
        <v>2413</v>
      </c>
      <c r="F151" s="34" t="b">
        <v>1</v>
      </c>
      <c r="G151" s="29" t="b">
        <v>1</v>
      </c>
      <c r="H151" s="30"/>
      <c r="I151" s="34"/>
      <c r="J151" s="29"/>
      <c r="K151" s="29"/>
      <c r="L151" s="29"/>
      <c r="M151" s="29" t="b">
        <v>1</v>
      </c>
      <c r="N151" s="29"/>
      <c r="O151" s="29"/>
      <c r="P151" s="29"/>
      <c r="Q151" s="29"/>
      <c r="R151" s="30"/>
      <c r="S151" s="84" t="s">
        <v>29</v>
      </c>
      <c r="T151" s="84" t="s">
        <v>91</v>
      </c>
      <c r="U151" s="31" t="s">
        <v>92</v>
      </c>
      <c r="V151" s="32" t="s">
        <v>71</v>
      </c>
      <c r="W151" s="35"/>
      <c r="X151" s="17">
        <v>0</v>
      </c>
      <c r="Y151" s="19">
        <v>0</v>
      </c>
    </row>
    <row r="152" spans="1:25" ht="21" x14ac:dyDescent="0.15">
      <c r="A152" s="26" t="s">
        <v>2056</v>
      </c>
      <c r="B152" s="26">
        <v>8</v>
      </c>
      <c r="C152" s="27" t="s">
        <v>2158</v>
      </c>
      <c r="D152" s="26">
        <v>4</v>
      </c>
      <c r="E152" s="27" t="s">
        <v>2414</v>
      </c>
      <c r="F152" s="34" t="b">
        <v>1</v>
      </c>
      <c r="G152" s="29" t="b">
        <v>1</v>
      </c>
      <c r="H152" s="30"/>
      <c r="I152" s="34"/>
      <c r="J152" s="29"/>
      <c r="K152" s="29"/>
      <c r="L152" s="29"/>
      <c r="M152" s="29" t="b">
        <v>1</v>
      </c>
      <c r="N152" s="29"/>
      <c r="O152" s="29"/>
      <c r="P152" s="29"/>
      <c r="Q152" s="29"/>
      <c r="R152" s="30"/>
      <c r="S152" s="84" t="s">
        <v>29</v>
      </c>
      <c r="T152" s="84" t="s">
        <v>91</v>
      </c>
      <c r="U152" s="31" t="s">
        <v>70</v>
      </c>
      <c r="V152" s="32" t="s">
        <v>71</v>
      </c>
      <c r="W152" s="35"/>
      <c r="X152" s="17">
        <v>0</v>
      </c>
      <c r="Y152" s="19">
        <v>0</v>
      </c>
    </row>
    <row r="153" spans="1:25" ht="28" x14ac:dyDescent="0.15">
      <c r="A153" s="26" t="s">
        <v>2056</v>
      </c>
      <c r="B153" s="26">
        <v>8</v>
      </c>
      <c r="C153" s="27" t="s">
        <v>2158</v>
      </c>
      <c r="D153" s="26">
        <v>5</v>
      </c>
      <c r="E153" s="27" t="s">
        <v>2415</v>
      </c>
      <c r="F153" s="34" t="b">
        <v>1</v>
      </c>
      <c r="G153" s="29" t="b">
        <v>1</v>
      </c>
      <c r="H153" s="30"/>
      <c r="I153" s="34"/>
      <c r="J153" s="29"/>
      <c r="K153" s="29"/>
      <c r="L153" s="29"/>
      <c r="M153" s="29" t="b">
        <v>1</v>
      </c>
      <c r="N153" s="29"/>
      <c r="O153" s="29"/>
      <c r="P153" s="29"/>
      <c r="Q153" s="29"/>
      <c r="R153" s="30"/>
      <c r="S153" s="84" t="s">
        <v>29</v>
      </c>
      <c r="T153" s="84" t="s">
        <v>91</v>
      </c>
      <c r="U153" s="31" t="s">
        <v>92</v>
      </c>
      <c r="V153" s="32" t="s">
        <v>71</v>
      </c>
      <c r="W153" s="35"/>
      <c r="X153" s="17">
        <v>0</v>
      </c>
      <c r="Y153" s="19">
        <v>0</v>
      </c>
    </row>
    <row r="154" spans="1:25" ht="28" x14ac:dyDescent="0.15">
      <c r="A154" s="26" t="s">
        <v>2056</v>
      </c>
      <c r="B154" s="26">
        <v>8</v>
      </c>
      <c r="C154" s="27" t="s">
        <v>2158</v>
      </c>
      <c r="D154" s="26">
        <v>5</v>
      </c>
      <c r="E154" s="27" t="s">
        <v>2416</v>
      </c>
      <c r="F154" s="34" t="b">
        <v>1</v>
      </c>
      <c r="G154" s="29" t="b">
        <v>1</v>
      </c>
      <c r="H154" s="30"/>
      <c r="I154" s="34"/>
      <c r="J154" s="29"/>
      <c r="K154" s="29"/>
      <c r="L154" s="29"/>
      <c r="M154" s="29" t="b">
        <v>1</v>
      </c>
      <c r="N154" s="29"/>
      <c r="O154" s="29"/>
      <c r="P154" s="29"/>
      <c r="Q154" s="29"/>
      <c r="R154" s="30"/>
      <c r="S154" s="84" t="s">
        <v>29</v>
      </c>
      <c r="T154" s="84" t="s">
        <v>91</v>
      </c>
      <c r="U154" s="31" t="s">
        <v>92</v>
      </c>
      <c r="V154" s="32" t="s">
        <v>71</v>
      </c>
      <c r="W154" s="35"/>
      <c r="X154" s="17">
        <v>0</v>
      </c>
      <c r="Y154" s="19">
        <v>0</v>
      </c>
    </row>
    <row r="155" spans="1:25" ht="28" x14ac:dyDescent="0.15">
      <c r="A155" s="26" t="s">
        <v>2056</v>
      </c>
      <c r="B155" s="26">
        <v>8</v>
      </c>
      <c r="C155" s="27" t="s">
        <v>2158</v>
      </c>
      <c r="D155" s="26">
        <v>5</v>
      </c>
      <c r="E155" s="27" t="s">
        <v>2417</v>
      </c>
      <c r="F155" s="34" t="b">
        <v>1</v>
      </c>
      <c r="G155" s="29" t="b">
        <v>1</v>
      </c>
      <c r="H155" s="30"/>
      <c r="I155" s="34"/>
      <c r="J155" s="29"/>
      <c r="K155" s="29"/>
      <c r="L155" s="29"/>
      <c r="M155" s="29" t="b">
        <v>1</v>
      </c>
      <c r="N155" s="29"/>
      <c r="O155" s="29"/>
      <c r="P155" s="29"/>
      <c r="Q155" s="29"/>
      <c r="R155" s="30"/>
      <c r="S155" s="84" t="s">
        <v>29</v>
      </c>
      <c r="T155" s="84" t="s">
        <v>91</v>
      </c>
      <c r="U155" s="31" t="s">
        <v>92</v>
      </c>
      <c r="V155" s="32" t="s">
        <v>71</v>
      </c>
      <c r="W155" s="35"/>
      <c r="X155" s="17">
        <v>0</v>
      </c>
      <c r="Y155" s="19">
        <v>0</v>
      </c>
    </row>
    <row r="156" spans="1:25" ht="28" x14ac:dyDescent="0.15">
      <c r="A156" s="26" t="s">
        <v>2056</v>
      </c>
      <c r="B156" s="26">
        <v>8</v>
      </c>
      <c r="C156" s="27" t="s">
        <v>2158</v>
      </c>
      <c r="D156" s="26">
        <v>5</v>
      </c>
      <c r="E156" s="27" t="s">
        <v>2418</v>
      </c>
      <c r="F156" s="34" t="b">
        <v>1</v>
      </c>
      <c r="G156" s="29" t="b">
        <v>1</v>
      </c>
      <c r="H156" s="30"/>
      <c r="I156" s="34"/>
      <c r="J156" s="29"/>
      <c r="K156" s="29"/>
      <c r="L156" s="29"/>
      <c r="M156" s="29" t="b">
        <v>1</v>
      </c>
      <c r="N156" s="29"/>
      <c r="O156" s="29"/>
      <c r="P156" s="29"/>
      <c r="Q156" s="29"/>
      <c r="R156" s="30"/>
      <c r="S156" s="84" t="s">
        <v>29</v>
      </c>
      <c r="T156" s="84" t="s">
        <v>93</v>
      </c>
      <c r="U156" s="31" t="s">
        <v>92</v>
      </c>
      <c r="V156" s="32" t="s">
        <v>71</v>
      </c>
      <c r="W156" s="35"/>
      <c r="X156" s="17">
        <v>0</v>
      </c>
      <c r="Y156" s="19">
        <v>0</v>
      </c>
    </row>
    <row r="157" spans="1:25" ht="28" x14ac:dyDescent="0.15">
      <c r="A157" s="26" t="s">
        <v>2056</v>
      </c>
      <c r="B157" s="26">
        <v>8</v>
      </c>
      <c r="C157" s="27" t="s">
        <v>2158</v>
      </c>
      <c r="D157" s="26">
        <v>6</v>
      </c>
      <c r="E157" s="27" t="s">
        <v>2419</v>
      </c>
      <c r="F157" s="34" t="b">
        <v>1</v>
      </c>
      <c r="G157" s="29" t="b">
        <v>1</v>
      </c>
      <c r="H157" s="30"/>
      <c r="I157" s="34"/>
      <c r="J157" s="29"/>
      <c r="K157" s="29"/>
      <c r="L157" s="29"/>
      <c r="M157" s="29" t="b">
        <v>1</v>
      </c>
      <c r="N157" s="29"/>
      <c r="O157" s="29"/>
      <c r="P157" s="29"/>
      <c r="Q157" s="29"/>
      <c r="R157" s="30"/>
      <c r="S157" s="84" t="s">
        <v>29</v>
      </c>
      <c r="T157" s="84" t="s">
        <v>93</v>
      </c>
      <c r="U157" s="31" t="s">
        <v>92</v>
      </c>
      <c r="V157" s="32" t="s">
        <v>72</v>
      </c>
      <c r="W157" s="35"/>
      <c r="X157" s="17">
        <v>0</v>
      </c>
      <c r="Y157" s="19">
        <v>0</v>
      </c>
    </row>
    <row r="158" spans="1:25" ht="28" x14ac:dyDescent="0.15">
      <c r="A158" s="26" t="s">
        <v>2056</v>
      </c>
      <c r="B158" s="26">
        <v>8</v>
      </c>
      <c r="C158" s="27" t="s">
        <v>2158</v>
      </c>
      <c r="D158" s="26">
        <v>6</v>
      </c>
      <c r="E158" s="27" t="s">
        <v>2420</v>
      </c>
      <c r="F158" s="34" t="b">
        <v>1</v>
      </c>
      <c r="G158" s="29" t="b">
        <v>1</v>
      </c>
      <c r="H158" s="30"/>
      <c r="I158" s="34"/>
      <c r="J158" s="29"/>
      <c r="K158" s="29"/>
      <c r="L158" s="29"/>
      <c r="M158" s="29" t="b">
        <v>1</v>
      </c>
      <c r="N158" s="29"/>
      <c r="O158" s="29"/>
      <c r="P158" s="29"/>
      <c r="Q158" s="29"/>
      <c r="R158" s="30"/>
      <c r="S158" s="84" t="s">
        <v>69</v>
      </c>
      <c r="T158" s="84" t="s">
        <v>26</v>
      </c>
      <c r="U158" s="31" t="s">
        <v>92</v>
      </c>
      <c r="V158" s="32" t="s">
        <v>72</v>
      </c>
      <c r="W158" s="35"/>
      <c r="X158" s="17">
        <v>0</v>
      </c>
      <c r="Y158" s="19">
        <v>0</v>
      </c>
    </row>
    <row r="159" spans="1:25" ht="28" x14ac:dyDescent="0.15">
      <c r="A159" s="26" t="s">
        <v>2056</v>
      </c>
      <c r="B159" s="26">
        <v>8</v>
      </c>
      <c r="C159" s="27" t="s">
        <v>2158</v>
      </c>
      <c r="D159" s="26">
        <v>6</v>
      </c>
      <c r="E159" s="27" t="s">
        <v>2421</v>
      </c>
      <c r="F159" s="34" t="b">
        <v>1</v>
      </c>
      <c r="G159" s="29" t="b">
        <v>1</v>
      </c>
      <c r="H159" s="30"/>
      <c r="I159" s="34"/>
      <c r="J159" s="29"/>
      <c r="K159" s="29"/>
      <c r="L159" s="29"/>
      <c r="M159" s="29" t="b">
        <v>1</v>
      </c>
      <c r="N159" s="29"/>
      <c r="O159" s="29"/>
      <c r="P159" s="29"/>
      <c r="Q159" s="29"/>
      <c r="R159" s="30"/>
      <c r="S159" s="84" t="s">
        <v>69</v>
      </c>
      <c r="T159" s="84" t="s">
        <v>26</v>
      </c>
      <c r="U159" s="31" t="s">
        <v>92</v>
      </c>
      <c r="V159" s="32" t="s">
        <v>72</v>
      </c>
      <c r="W159" s="35"/>
      <c r="X159" s="17">
        <v>0</v>
      </c>
      <c r="Y159" s="19">
        <v>0</v>
      </c>
    </row>
    <row r="160" spans="1:25" ht="28" x14ac:dyDescent="0.15">
      <c r="A160" s="26" t="s">
        <v>2056</v>
      </c>
      <c r="B160" s="26">
        <v>8</v>
      </c>
      <c r="C160" s="27" t="s">
        <v>2158</v>
      </c>
      <c r="D160" s="26">
        <v>7</v>
      </c>
      <c r="E160" s="27" t="s">
        <v>2422</v>
      </c>
      <c r="F160" s="34" t="b">
        <v>1</v>
      </c>
      <c r="G160" s="29" t="b">
        <v>1</v>
      </c>
      <c r="H160" s="30"/>
      <c r="I160" s="34"/>
      <c r="J160" s="29"/>
      <c r="K160" s="29"/>
      <c r="L160" s="29"/>
      <c r="M160" s="29" t="b">
        <v>1</v>
      </c>
      <c r="N160" s="29"/>
      <c r="O160" s="29"/>
      <c r="P160" s="29"/>
      <c r="Q160" s="29"/>
      <c r="R160" s="30"/>
      <c r="S160" s="84" t="s">
        <v>69</v>
      </c>
      <c r="T160" s="84" t="s">
        <v>26</v>
      </c>
      <c r="U160" s="31" t="s">
        <v>92</v>
      </c>
      <c r="V160" s="32" t="s">
        <v>72</v>
      </c>
      <c r="W160" s="35"/>
      <c r="X160" s="17">
        <v>0</v>
      </c>
      <c r="Y160" s="19">
        <v>0</v>
      </c>
    </row>
    <row r="161" spans="1:25" ht="28" x14ac:dyDescent="0.15">
      <c r="A161" s="26" t="s">
        <v>2056</v>
      </c>
      <c r="B161" s="26">
        <v>8</v>
      </c>
      <c r="C161" s="27" t="s">
        <v>2158</v>
      </c>
      <c r="D161" s="26">
        <v>7</v>
      </c>
      <c r="E161" s="27" t="s">
        <v>2423</v>
      </c>
      <c r="F161" s="34" t="b">
        <v>1</v>
      </c>
      <c r="G161" s="29" t="b">
        <v>1</v>
      </c>
      <c r="H161" s="30"/>
      <c r="I161" s="34"/>
      <c r="J161" s="29"/>
      <c r="K161" s="29"/>
      <c r="L161" s="29"/>
      <c r="M161" s="29" t="b">
        <v>1</v>
      </c>
      <c r="N161" s="29"/>
      <c r="O161" s="29"/>
      <c r="P161" s="29"/>
      <c r="Q161" s="29"/>
      <c r="R161" s="30"/>
      <c r="S161" s="84" t="s">
        <v>29</v>
      </c>
      <c r="T161" s="84" t="s">
        <v>95</v>
      </c>
      <c r="U161" s="31" t="s">
        <v>92</v>
      </c>
      <c r="V161" s="32" t="s">
        <v>72</v>
      </c>
      <c r="W161" s="35"/>
      <c r="X161" s="17">
        <v>0</v>
      </c>
      <c r="Y161" s="19">
        <v>0</v>
      </c>
    </row>
    <row r="162" spans="1:25" ht="28" x14ac:dyDescent="0.15">
      <c r="A162" s="26" t="s">
        <v>2056</v>
      </c>
      <c r="B162" s="26">
        <v>8</v>
      </c>
      <c r="C162" s="27" t="s">
        <v>2158</v>
      </c>
      <c r="D162" s="26">
        <v>7</v>
      </c>
      <c r="E162" s="27" t="s">
        <v>2172</v>
      </c>
      <c r="F162" s="34" t="b">
        <v>1</v>
      </c>
      <c r="G162" s="29" t="b">
        <v>1</v>
      </c>
      <c r="H162" s="30"/>
      <c r="I162" s="34"/>
      <c r="J162" s="29"/>
      <c r="K162" s="29"/>
      <c r="L162" s="29"/>
      <c r="M162" s="29" t="b">
        <v>1</v>
      </c>
      <c r="N162" s="29"/>
      <c r="O162" s="29"/>
      <c r="P162" s="29"/>
      <c r="Q162" s="29"/>
      <c r="R162" s="30"/>
      <c r="S162" s="84" t="s">
        <v>29</v>
      </c>
      <c r="T162" s="84" t="s">
        <v>91</v>
      </c>
      <c r="U162" s="31" t="s">
        <v>92</v>
      </c>
      <c r="V162" s="32" t="s">
        <v>71</v>
      </c>
      <c r="W162" s="35"/>
      <c r="X162" s="17">
        <v>0</v>
      </c>
      <c r="Y162" s="19">
        <v>0</v>
      </c>
    </row>
    <row r="163" spans="1:25" ht="28" x14ac:dyDescent="0.15">
      <c r="A163" s="26" t="s">
        <v>2056</v>
      </c>
      <c r="B163" s="26">
        <v>8</v>
      </c>
      <c r="C163" s="27" t="s">
        <v>2158</v>
      </c>
      <c r="D163" s="26">
        <v>8</v>
      </c>
      <c r="E163" s="27" t="s">
        <v>2424</v>
      </c>
      <c r="F163" s="34" t="b">
        <v>1</v>
      </c>
      <c r="G163" s="29" t="b">
        <v>1</v>
      </c>
      <c r="H163" s="30"/>
      <c r="I163" s="34"/>
      <c r="J163" s="29"/>
      <c r="K163" s="29"/>
      <c r="L163" s="29"/>
      <c r="M163" s="29" t="b">
        <v>1</v>
      </c>
      <c r="N163" s="29"/>
      <c r="O163" s="29"/>
      <c r="P163" s="29"/>
      <c r="Q163" s="29"/>
      <c r="R163" s="30"/>
      <c r="S163" s="84" t="s">
        <v>29</v>
      </c>
      <c r="T163" s="84" t="s">
        <v>91</v>
      </c>
      <c r="U163" s="31" t="s">
        <v>92</v>
      </c>
      <c r="V163" s="32" t="s">
        <v>71</v>
      </c>
      <c r="W163" s="35"/>
      <c r="X163" s="17">
        <v>0</v>
      </c>
      <c r="Y163" s="19">
        <v>0</v>
      </c>
    </row>
    <row r="164" spans="1:25" ht="28" x14ac:dyDescent="0.15">
      <c r="A164" s="26" t="s">
        <v>2056</v>
      </c>
      <c r="B164" s="26">
        <v>8</v>
      </c>
      <c r="C164" s="27" t="s">
        <v>2158</v>
      </c>
      <c r="D164" s="26">
        <v>8</v>
      </c>
      <c r="E164" s="27" t="s">
        <v>2425</v>
      </c>
      <c r="F164" s="34" t="b">
        <v>1</v>
      </c>
      <c r="G164" s="29" t="b">
        <v>1</v>
      </c>
      <c r="H164" s="30"/>
      <c r="I164" s="34"/>
      <c r="J164" s="29"/>
      <c r="K164" s="29"/>
      <c r="L164" s="29"/>
      <c r="M164" s="29" t="b">
        <v>1</v>
      </c>
      <c r="N164" s="29"/>
      <c r="O164" s="29"/>
      <c r="P164" s="29"/>
      <c r="Q164" s="29"/>
      <c r="R164" s="30"/>
      <c r="S164" s="84" t="s">
        <v>69</v>
      </c>
      <c r="T164" s="84" t="s">
        <v>91</v>
      </c>
      <c r="U164" s="31" t="s">
        <v>92</v>
      </c>
      <c r="V164" s="32" t="s">
        <v>71</v>
      </c>
      <c r="W164" s="35"/>
      <c r="X164" s="17">
        <v>0</v>
      </c>
      <c r="Y164" s="19">
        <v>0</v>
      </c>
    </row>
    <row r="165" spans="1:25" ht="28" x14ac:dyDescent="0.15">
      <c r="A165" s="26" t="s">
        <v>2056</v>
      </c>
      <c r="B165" s="26">
        <v>8</v>
      </c>
      <c r="C165" s="27" t="s">
        <v>2158</v>
      </c>
      <c r="D165" s="26">
        <v>8</v>
      </c>
      <c r="E165" s="27" t="s">
        <v>2175</v>
      </c>
      <c r="F165" s="34" t="b">
        <v>1</v>
      </c>
      <c r="G165" s="29" t="b">
        <v>1</v>
      </c>
      <c r="H165" s="30"/>
      <c r="I165" s="34"/>
      <c r="J165" s="29"/>
      <c r="K165" s="29"/>
      <c r="L165" s="29"/>
      <c r="M165" s="29" t="b">
        <v>1</v>
      </c>
      <c r="N165" s="29"/>
      <c r="O165" s="29"/>
      <c r="P165" s="29"/>
      <c r="Q165" s="29"/>
      <c r="R165" s="30"/>
      <c r="S165" s="84" t="s">
        <v>29</v>
      </c>
      <c r="T165" s="84"/>
      <c r="U165" s="31" t="s">
        <v>92</v>
      </c>
      <c r="V165" s="32"/>
      <c r="W165" s="35"/>
      <c r="X165" s="17">
        <v>0</v>
      </c>
      <c r="Y165" s="19">
        <v>0</v>
      </c>
    </row>
    <row r="166" spans="1:25" ht="21" x14ac:dyDescent="0.15">
      <c r="A166" s="26" t="s">
        <v>2056</v>
      </c>
      <c r="B166" s="26">
        <v>8</v>
      </c>
      <c r="C166" s="27" t="s">
        <v>2158</v>
      </c>
      <c r="D166" s="26">
        <v>8</v>
      </c>
      <c r="E166" s="27" t="s">
        <v>2176</v>
      </c>
      <c r="F166" s="34" t="b">
        <v>1</v>
      </c>
      <c r="G166" s="29" t="b">
        <v>1</v>
      </c>
      <c r="H166" s="30"/>
      <c r="I166" s="34"/>
      <c r="J166" s="29"/>
      <c r="K166" s="29"/>
      <c r="L166" s="29"/>
      <c r="M166" s="29" t="b">
        <v>1</v>
      </c>
      <c r="N166" s="29"/>
      <c r="O166" s="29"/>
      <c r="P166" s="29"/>
      <c r="Q166" s="29"/>
      <c r="R166" s="30"/>
      <c r="S166" s="84" t="s">
        <v>29</v>
      </c>
      <c r="T166" s="84"/>
      <c r="U166" s="31" t="s">
        <v>70</v>
      </c>
      <c r="V166" s="32"/>
      <c r="W166" s="35"/>
      <c r="X166" s="17">
        <v>0</v>
      </c>
      <c r="Y166" s="19">
        <v>0</v>
      </c>
    </row>
    <row r="167" spans="1:25" ht="21" x14ac:dyDescent="0.15">
      <c r="A167" s="26" t="s">
        <v>2056</v>
      </c>
      <c r="B167" s="26">
        <v>8</v>
      </c>
      <c r="C167" s="27" t="s">
        <v>2158</v>
      </c>
      <c r="D167" s="26">
        <v>9</v>
      </c>
      <c r="E167" s="27" t="s">
        <v>2426</v>
      </c>
      <c r="F167" s="34" t="b">
        <v>1</v>
      </c>
      <c r="G167" s="29" t="b">
        <v>1</v>
      </c>
      <c r="H167" s="30"/>
      <c r="I167" s="34"/>
      <c r="J167" s="29"/>
      <c r="K167" s="29"/>
      <c r="L167" s="29"/>
      <c r="M167" s="29" t="b">
        <v>1</v>
      </c>
      <c r="N167" s="29"/>
      <c r="O167" s="29"/>
      <c r="P167" s="29"/>
      <c r="Q167" s="29"/>
      <c r="R167" s="30"/>
      <c r="S167" s="84" t="s">
        <v>29</v>
      </c>
      <c r="T167" s="84" t="s">
        <v>91</v>
      </c>
      <c r="U167" s="31"/>
      <c r="V167" s="32"/>
      <c r="W167" s="35"/>
      <c r="X167" s="17">
        <v>0</v>
      </c>
      <c r="Y167" s="19">
        <v>0</v>
      </c>
    </row>
    <row r="168" spans="1:25" ht="28" x14ac:dyDescent="0.15">
      <c r="A168" s="26" t="s">
        <v>2056</v>
      </c>
      <c r="B168" s="26">
        <v>8</v>
      </c>
      <c r="C168" s="27" t="s">
        <v>2158</v>
      </c>
      <c r="D168" s="26">
        <v>9</v>
      </c>
      <c r="E168" s="27" t="s">
        <v>2177</v>
      </c>
      <c r="F168" s="34" t="b">
        <v>1</v>
      </c>
      <c r="G168" s="29" t="b">
        <v>1</v>
      </c>
      <c r="H168" s="30"/>
      <c r="I168" s="34"/>
      <c r="J168" s="29"/>
      <c r="K168" s="29"/>
      <c r="L168" s="29"/>
      <c r="M168" s="29" t="b">
        <v>1</v>
      </c>
      <c r="N168" s="29"/>
      <c r="O168" s="29"/>
      <c r="P168" s="29"/>
      <c r="Q168" s="29"/>
      <c r="R168" s="30"/>
      <c r="S168" s="84" t="s">
        <v>29</v>
      </c>
      <c r="T168" s="84" t="s">
        <v>91</v>
      </c>
      <c r="U168" s="31" t="s">
        <v>92</v>
      </c>
      <c r="V168" s="32" t="s">
        <v>71</v>
      </c>
      <c r="W168" s="35"/>
      <c r="X168" s="17">
        <v>0</v>
      </c>
      <c r="Y168" s="19">
        <v>0</v>
      </c>
    </row>
    <row r="169" spans="1:25" ht="28" x14ac:dyDescent="0.15">
      <c r="A169" s="26" t="s">
        <v>2056</v>
      </c>
      <c r="B169" s="26">
        <v>8</v>
      </c>
      <c r="C169" s="27" t="s">
        <v>2158</v>
      </c>
      <c r="D169" s="26">
        <v>9</v>
      </c>
      <c r="E169" s="27" t="s">
        <v>2427</v>
      </c>
      <c r="F169" s="34" t="b">
        <v>1</v>
      </c>
      <c r="G169" s="29" t="b">
        <v>1</v>
      </c>
      <c r="H169" s="30"/>
      <c r="I169" s="34"/>
      <c r="J169" s="29"/>
      <c r="K169" s="29"/>
      <c r="L169" s="29"/>
      <c r="M169" s="29" t="b">
        <v>1</v>
      </c>
      <c r="N169" s="29"/>
      <c r="O169" s="29"/>
      <c r="P169" s="29"/>
      <c r="Q169" s="29"/>
      <c r="R169" s="30"/>
      <c r="S169" s="84" t="s">
        <v>29</v>
      </c>
      <c r="T169" s="84" t="s">
        <v>91</v>
      </c>
      <c r="U169" s="31" t="s">
        <v>92</v>
      </c>
      <c r="V169" s="32" t="s">
        <v>71</v>
      </c>
      <c r="W169" s="35"/>
      <c r="X169" s="17">
        <v>0</v>
      </c>
      <c r="Y169" s="19">
        <v>0</v>
      </c>
    </row>
    <row r="170" spans="1:25" ht="28" x14ac:dyDescent="0.15">
      <c r="A170" s="26" t="s">
        <v>2056</v>
      </c>
      <c r="B170" s="26">
        <v>8</v>
      </c>
      <c r="C170" s="27" t="s">
        <v>2158</v>
      </c>
      <c r="D170" s="26">
        <v>10</v>
      </c>
      <c r="E170" s="27" t="s">
        <v>2428</v>
      </c>
      <c r="F170" s="34" t="b">
        <v>1</v>
      </c>
      <c r="G170" s="29" t="b">
        <v>1</v>
      </c>
      <c r="H170" s="30"/>
      <c r="I170" s="34"/>
      <c r="J170" s="29"/>
      <c r="K170" s="29"/>
      <c r="L170" s="29"/>
      <c r="M170" s="29" t="b">
        <v>1</v>
      </c>
      <c r="N170" s="29"/>
      <c r="O170" s="29"/>
      <c r="P170" s="29"/>
      <c r="Q170" s="29"/>
      <c r="R170" s="30"/>
      <c r="S170" s="84" t="s">
        <v>29</v>
      </c>
      <c r="T170" s="84" t="s">
        <v>91</v>
      </c>
      <c r="U170" s="31" t="s">
        <v>92</v>
      </c>
      <c r="V170" s="32"/>
      <c r="W170" s="35"/>
      <c r="X170" s="17">
        <v>0</v>
      </c>
      <c r="Y170" s="19">
        <v>0</v>
      </c>
    </row>
    <row r="171" spans="1:25" ht="28" x14ac:dyDescent="0.15">
      <c r="A171" s="26" t="s">
        <v>2056</v>
      </c>
      <c r="B171" s="26">
        <v>8</v>
      </c>
      <c r="C171" s="27" t="s">
        <v>2158</v>
      </c>
      <c r="D171" s="26">
        <v>10</v>
      </c>
      <c r="E171" s="27" t="s">
        <v>2429</v>
      </c>
      <c r="F171" s="34" t="b">
        <v>1</v>
      </c>
      <c r="G171" s="29" t="b">
        <v>1</v>
      </c>
      <c r="H171" s="30"/>
      <c r="I171" s="34"/>
      <c r="J171" s="29"/>
      <c r="K171" s="29"/>
      <c r="L171" s="29"/>
      <c r="M171" s="29" t="b">
        <v>1</v>
      </c>
      <c r="N171" s="29"/>
      <c r="O171" s="29"/>
      <c r="P171" s="29"/>
      <c r="Q171" s="29"/>
      <c r="R171" s="30"/>
      <c r="S171" s="84"/>
      <c r="T171" s="84" t="s">
        <v>91</v>
      </c>
      <c r="U171" s="31" t="s">
        <v>92</v>
      </c>
      <c r="V171" s="32"/>
      <c r="W171" s="35"/>
      <c r="X171" s="17">
        <v>0</v>
      </c>
      <c r="Y171" s="19">
        <v>0</v>
      </c>
    </row>
    <row r="172" spans="1:25" ht="28" x14ac:dyDescent="0.15">
      <c r="A172" s="26" t="s">
        <v>2056</v>
      </c>
      <c r="B172" s="26">
        <v>8</v>
      </c>
      <c r="C172" s="27" t="s">
        <v>2158</v>
      </c>
      <c r="D172" s="26">
        <v>10</v>
      </c>
      <c r="E172" s="27" t="s">
        <v>2430</v>
      </c>
      <c r="F172" s="34" t="b">
        <v>1</v>
      </c>
      <c r="G172" s="29" t="b">
        <v>1</v>
      </c>
      <c r="H172" s="30"/>
      <c r="I172" s="34"/>
      <c r="J172" s="29"/>
      <c r="K172" s="29"/>
      <c r="L172" s="29"/>
      <c r="M172" s="29" t="b">
        <v>1</v>
      </c>
      <c r="N172" s="29"/>
      <c r="O172" s="29"/>
      <c r="P172" s="29"/>
      <c r="Q172" s="29"/>
      <c r="R172" s="30"/>
      <c r="S172" s="84" t="s">
        <v>29</v>
      </c>
      <c r="T172" s="84" t="s">
        <v>91</v>
      </c>
      <c r="U172" s="31" t="s">
        <v>92</v>
      </c>
      <c r="V172" s="32"/>
      <c r="W172" s="35"/>
      <c r="X172" s="17">
        <v>0</v>
      </c>
      <c r="Y172" s="19">
        <v>0</v>
      </c>
    </row>
    <row r="173" spans="1:25" ht="28" x14ac:dyDescent="0.15">
      <c r="A173" s="26" t="s">
        <v>2056</v>
      </c>
      <c r="B173" s="26">
        <v>8</v>
      </c>
      <c r="C173" s="27" t="s">
        <v>2158</v>
      </c>
      <c r="D173" s="26">
        <v>10</v>
      </c>
      <c r="E173" s="27" t="s">
        <v>2431</v>
      </c>
      <c r="F173" s="34" t="b">
        <v>1</v>
      </c>
      <c r="G173" s="29" t="b">
        <v>1</v>
      </c>
      <c r="H173" s="30"/>
      <c r="I173" s="34"/>
      <c r="J173" s="29"/>
      <c r="K173" s="29"/>
      <c r="L173" s="29"/>
      <c r="M173" s="29" t="b">
        <v>1</v>
      </c>
      <c r="N173" s="29"/>
      <c r="O173" s="29"/>
      <c r="P173" s="29"/>
      <c r="Q173" s="29"/>
      <c r="R173" s="30"/>
      <c r="S173" s="84" t="s">
        <v>73</v>
      </c>
      <c r="T173" s="84" t="s">
        <v>82</v>
      </c>
      <c r="U173" s="31" t="s">
        <v>92</v>
      </c>
      <c r="V173" s="32" t="s">
        <v>71</v>
      </c>
      <c r="W173" s="35"/>
      <c r="X173" s="17">
        <v>0</v>
      </c>
      <c r="Y173" s="19">
        <v>0</v>
      </c>
    </row>
    <row r="174" spans="1:25" ht="21" x14ac:dyDescent="0.15">
      <c r="A174" s="26" t="s">
        <v>2056</v>
      </c>
      <c r="B174" s="26">
        <v>8</v>
      </c>
      <c r="C174" s="27" t="s">
        <v>2158</v>
      </c>
      <c r="D174" s="26">
        <v>11</v>
      </c>
      <c r="E174" s="27" t="s">
        <v>2432</v>
      </c>
      <c r="F174" s="34" t="b">
        <v>1</v>
      </c>
      <c r="G174" s="29" t="b">
        <v>1</v>
      </c>
      <c r="H174" s="30"/>
      <c r="I174" s="34"/>
      <c r="J174" s="29"/>
      <c r="K174" s="29"/>
      <c r="L174" s="29"/>
      <c r="M174" s="29" t="b">
        <v>1</v>
      </c>
      <c r="N174" s="29"/>
      <c r="O174" s="29"/>
      <c r="P174" s="29"/>
      <c r="Q174" s="29"/>
      <c r="R174" s="30"/>
      <c r="S174" s="84"/>
      <c r="T174" s="84" t="s">
        <v>91</v>
      </c>
      <c r="U174" s="31" t="s">
        <v>70</v>
      </c>
      <c r="V174" s="32" t="s">
        <v>83</v>
      </c>
      <c r="W174" s="35"/>
      <c r="X174" s="17">
        <v>0</v>
      </c>
      <c r="Y174" s="19">
        <v>0</v>
      </c>
    </row>
    <row r="175" spans="1:25" ht="42" x14ac:dyDescent="0.15">
      <c r="A175" s="26" t="s">
        <v>2056</v>
      </c>
      <c r="B175" s="26">
        <v>8</v>
      </c>
      <c r="C175" s="27" t="s">
        <v>2158</v>
      </c>
      <c r="D175" s="26">
        <v>11</v>
      </c>
      <c r="E175" s="27" t="s">
        <v>2433</v>
      </c>
      <c r="F175" s="34" t="b">
        <v>1</v>
      </c>
      <c r="G175" s="29" t="b">
        <v>1</v>
      </c>
      <c r="H175" s="30"/>
      <c r="I175" s="34"/>
      <c r="J175" s="29"/>
      <c r="K175" s="29"/>
      <c r="L175" s="29"/>
      <c r="M175" s="29" t="b">
        <v>1</v>
      </c>
      <c r="N175" s="29"/>
      <c r="O175" s="29"/>
      <c r="P175" s="29"/>
      <c r="Q175" s="29"/>
      <c r="R175" s="30"/>
      <c r="S175" s="84" t="s">
        <v>96</v>
      </c>
      <c r="T175" s="84" t="s">
        <v>91</v>
      </c>
      <c r="U175" s="31" t="s">
        <v>92</v>
      </c>
      <c r="V175" s="32" t="s">
        <v>83</v>
      </c>
      <c r="W175" s="35"/>
      <c r="X175" s="17">
        <v>0</v>
      </c>
      <c r="Y175" s="19">
        <v>0</v>
      </c>
    </row>
    <row r="176" spans="1:25" ht="28" x14ac:dyDescent="0.15">
      <c r="A176" s="26" t="s">
        <v>2056</v>
      </c>
      <c r="B176" s="26">
        <v>8</v>
      </c>
      <c r="C176" s="27" t="s">
        <v>2158</v>
      </c>
      <c r="D176" s="26">
        <v>12</v>
      </c>
      <c r="E176" s="27" t="s">
        <v>2189</v>
      </c>
      <c r="F176" s="34" t="b">
        <v>1</v>
      </c>
      <c r="G176" s="29" t="b">
        <v>1</v>
      </c>
      <c r="H176" s="30"/>
      <c r="I176" s="34"/>
      <c r="J176" s="29"/>
      <c r="K176" s="29"/>
      <c r="L176" s="29"/>
      <c r="M176" s="29" t="b">
        <v>1</v>
      </c>
      <c r="N176" s="29"/>
      <c r="O176" s="29"/>
      <c r="P176" s="29"/>
      <c r="Q176" s="29"/>
      <c r="R176" s="30"/>
      <c r="S176" s="84" t="s">
        <v>29</v>
      </c>
      <c r="T176" s="84" t="s">
        <v>91</v>
      </c>
      <c r="U176" s="31" t="s">
        <v>92</v>
      </c>
      <c r="V176" s="32" t="s">
        <v>83</v>
      </c>
      <c r="W176" s="35"/>
      <c r="X176" s="17">
        <v>0</v>
      </c>
      <c r="Y176" s="19">
        <v>0</v>
      </c>
    </row>
    <row r="177" spans="1:25" ht="28" x14ac:dyDescent="0.15">
      <c r="A177" s="26" t="s">
        <v>2056</v>
      </c>
      <c r="B177" s="26">
        <v>8</v>
      </c>
      <c r="C177" s="27" t="s">
        <v>2158</v>
      </c>
      <c r="D177" s="26">
        <v>12</v>
      </c>
      <c r="E177" s="27" t="s">
        <v>2434</v>
      </c>
      <c r="F177" s="34" t="b">
        <v>1</v>
      </c>
      <c r="G177" s="29" t="b">
        <v>1</v>
      </c>
      <c r="H177" s="30"/>
      <c r="I177" s="34"/>
      <c r="J177" s="29"/>
      <c r="K177" s="29"/>
      <c r="L177" s="29"/>
      <c r="M177" s="29" t="b">
        <v>1</v>
      </c>
      <c r="N177" s="29"/>
      <c r="O177" s="29"/>
      <c r="P177" s="29"/>
      <c r="Q177" s="29"/>
      <c r="R177" s="30"/>
      <c r="S177" s="84" t="s">
        <v>29</v>
      </c>
      <c r="T177" s="84" t="s">
        <v>91</v>
      </c>
      <c r="U177" s="31" t="s">
        <v>92</v>
      </c>
      <c r="V177" s="32" t="s">
        <v>71</v>
      </c>
      <c r="W177" s="35"/>
      <c r="X177" s="17">
        <v>0</v>
      </c>
      <c r="Y177" s="19">
        <v>0</v>
      </c>
    </row>
    <row r="178" spans="1:25" ht="21" x14ac:dyDescent="0.15">
      <c r="A178" s="26" t="s">
        <v>2056</v>
      </c>
      <c r="B178" s="26">
        <v>8</v>
      </c>
      <c r="C178" s="27" t="s">
        <v>2158</v>
      </c>
      <c r="D178" s="26">
        <v>13</v>
      </c>
      <c r="E178" s="27" t="s">
        <v>2435</v>
      </c>
      <c r="F178" s="34" t="b">
        <v>1</v>
      </c>
      <c r="G178" s="29" t="b">
        <v>1</v>
      </c>
      <c r="H178" s="30"/>
      <c r="I178" s="34"/>
      <c r="J178" s="29"/>
      <c r="K178" s="29"/>
      <c r="L178" s="29"/>
      <c r="M178" s="29" t="b">
        <v>1</v>
      </c>
      <c r="N178" s="29"/>
      <c r="O178" s="29"/>
      <c r="P178" s="29"/>
      <c r="Q178" s="29"/>
      <c r="R178" s="30"/>
      <c r="S178" s="84" t="s">
        <v>29</v>
      </c>
      <c r="T178" s="84" t="s">
        <v>91</v>
      </c>
      <c r="U178" s="31"/>
      <c r="V178" s="32" t="s">
        <v>71</v>
      </c>
      <c r="W178" s="35"/>
      <c r="X178" s="17">
        <v>0</v>
      </c>
      <c r="Y178" s="19">
        <v>0</v>
      </c>
    </row>
    <row r="179" spans="1:25" ht="28" x14ac:dyDescent="0.15">
      <c r="A179" s="26" t="s">
        <v>2056</v>
      </c>
      <c r="B179" s="26">
        <v>8</v>
      </c>
      <c r="C179" s="27" t="s">
        <v>2158</v>
      </c>
      <c r="D179" s="26">
        <v>13</v>
      </c>
      <c r="E179" s="27" t="s">
        <v>2436</v>
      </c>
      <c r="F179" s="34" t="b">
        <v>1</v>
      </c>
      <c r="G179" s="29" t="b">
        <v>1</v>
      </c>
      <c r="H179" s="30"/>
      <c r="I179" s="34"/>
      <c r="J179" s="29"/>
      <c r="K179" s="29"/>
      <c r="L179" s="29"/>
      <c r="M179" s="29" t="b">
        <v>1</v>
      </c>
      <c r="N179" s="29"/>
      <c r="O179" s="29"/>
      <c r="P179" s="29"/>
      <c r="Q179" s="29"/>
      <c r="R179" s="30"/>
      <c r="S179" s="84" t="s">
        <v>29</v>
      </c>
      <c r="T179" s="84" t="s">
        <v>93</v>
      </c>
      <c r="U179" s="31" t="s">
        <v>92</v>
      </c>
      <c r="V179" s="32" t="s">
        <v>71</v>
      </c>
      <c r="W179" s="35"/>
      <c r="X179" s="17">
        <v>0</v>
      </c>
      <c r="Y179" s="19">
        <v>0</v>
      </c>
    </row>
    <row r="180" spans="1:25" ht="21" x14ac:dyDescent="0.15">
      <c r="A180" s="26" t="s">
        <v>2056</v>
      </c>
      <c r="B180" s="26">
        <v>8</v>
      </c>
      <c r="C180" s="27" t="s">
        <v>2158</v>
      </c>
      <c r="D180" s="26">
        <v>13</v>
      </c>
      <c r="E180" s="27" t="s">
        <v>2437</v>
      </c>
      <c r="F180" s="34" t="b">
        <v>1</v>
      </c>
      <c r="G180" s="29" t="b">
        <v>1</v>
      </c>
      <c r="H180" s="30"/>
      <c r="I180" s="34"/>
      <c r="J180" s="29"/>
      <c r="K180" s="29"/>
      <c r="L180" s="29"/>
      <c r="M180" s="29" t="b">
        <v>1</v>
      </c>
      <c r="N180" s="29"/>
      <c r="O180" s="29"/>
      <c r="P180" s="29"/>
      <c r="Q180" s="29"/>
      <c r="R180" s="30"/>
      <c r="S180" s="84" t="s">
        <v>29</v>
      </c>
      <c r="T180" s="84" t="s">
        <v>93</v>
      </c>
      <c r="U180" s="31"/>
      <c r="V180" s="32" t="s">
        <v>71</v>
      </c>
      <c r="W180" s="35"/>
      <c r="X180" s="17">
        <v>0</v>
      </c>
      <c r="Y180" s="19">
        <v>0</v>
      </c>
    </row>
    <row r="181" spans="1:25" ht="28" x14ac:dyDescent="0.15">
      <c r="A181" s="26" t="s">
        <v>2056</v>
      </c>
      <c r="B181" s="26">
        <v>8</v>
      </c>
      <c r="C181" s="27" t="s">
        <v>2158</v>
      </c>
      <c r="D181" s="26">
        <v>14</v>
      </c>
      <c r="E181" s="27" t="s">
        <v>2438</v>
      </c>
      <c r="F181" s="34" t="b">
        <v>1</v>
      </c>
      <c r="G181" s="29" t="b">
        <v>1</v>
      </c>
      <c r="H181" s="30"/>
      <c r="I181" s="34"/>
      <c r="J181" s="29"/>
      <c r="K181" s="29"/>
      <c r="L181" s="29"/>
      <c r="M181" s="29" t="b">
        <v>1</v>
      </c>
      <c r="N181" s="29"/>
      <c r="O181" s="29"/>
      <c r="P181" s="29"/>
      <c r="Q181" s="29"/>
      <c r="R181" s="30"/>
      <c r="S181" s="84" t="s">
        <v>69</v>
      </c>
      <c r="T181" s="84" t="s">
        <v>91</v>
      </c>
      <c r="U181" s="31"/>
      <c r="V181" s="32" t="s">
        <v>71</v>
      </c>
      <c r="W181" s="35"/>
      <c r="X181" s="17">
        <v>0</v>
      </c>
      <c r="Y181" s="19">
        <v>0</v>
      </c>
    </row>
    <row r="182" spans="1:25" ht="28" x14ac:dyDescent="0.15">
      <c r="A182" s="26" t="s">
        <v>2056</v>
      </c>
      <c r="B182" s="26">
        <v>8</v>
      </c>
      <c r="C182" s="27" t="s">
        <v>2158</v>
      </c>
      <c r="D182" s="26">
        <v>14</v>
      </c>
      <c r="E182" s="27" t="s">
        <v>2439</v>
      </c>
      <c r="F182" s="34" t="b">
        <v>1</v>
      </c>
      <c r="G182" s="29" t="b">
        <v>1</v>
      </c>
      <c r="H182" s="30"/>
      <c r="I182" s="34"/>
      <c r="J182" s="29"/>
      <c r="K182" s="29"/>
      <c r="L182" s="29"/>
      <c r="M182" s="29" t="b">
        <v>1</v>
      </c>
      <c r="N182" s="29"/>
      <c r="O182" s="29"/>
      <c r="P182" s="29"/>
      <c r="Q182" s="29"/>
      <c r="R182" s="30"/>
      <c r="S182" s="84"/>
      <c r="T182" s="84"/>
      <c r="U182" s="31" t="s">
        <v>92</v>
      </c>
      <c r="V182" s="32" t="s">
        <v>71</v>
      </c>
      <c r="W182" s="35"/>
      <c r="X182" s="17">
        <v>0</v>
      </c>
      <c r="Y182" s="19">
        <v>0</v>
      </c>
    </row>
    <row r="183" spans="1:25" ht="21" x14ac:dyDescent="0.15">
      <c r="A183" s="26" t="s">
        <v>2056</v>
      </c>
      <c r="B183" s="26">
        <v>8</v>
      </c>
      <c r="C183" s="27" t="s">
        <v>2158</v>
      </c>
      <c r="D183" s="26">
        <v>14</v>
      </c>
      <c r="E183" s="27" t="s">
        <v>2440</v>
      </c>
      <c r="F183" s="34" t="b">
        <v>1</v>
      </c>
      <c r="G183" s="29" t="b">
        <v>1</v>
      </c>
      <c r="H183" s="30"/>
      <c r="I183" s="34"/>
      <c r="J183" s="29"/>
      <c r="K183" s="29"/>
      <c r="L183" s="29"/>
      <c r="M183" s="29" t="b">
        <v>1</v>
      </c>
      <c r="N183" s="29"/>
      <c r="O183" s="29"/>
      <c r="P183" s="29"/>
      <c r="Q183" s="29"/>
      <c r="R183" s="30"/>
      <c r="S183" s="84"/>
      <c r="T183" s="84"/>
      <c r="U183" s="31"/>
      <c r="V183" s="32" t="s">
        <v>71</v>
      </c>
      <c r="W183" s="35"/>
      <c r="X183" s="17">
        <v>0</v>
      </c>
      <c r="Y183" s="19">
        <v>0</v>
      </c>
    </row>
    <row r="184" spans="1:25" ht="28" x14ac:dyDescent="0.15">
      <c r="A184" s="26" t="s">
        <v>2056</v>
      </c>
      <c r="B184" s="26">
        <v>8</v>
      </c>
      <c r="C184" s="27" t="s">
        <v>2158</v>
      </c>
      <c r="D184" s="26">
        <v>15</v>
      </c>
      <c r="E184" s="27" t="s">
        <v>2441</v>
      </c>
      <c r="F184" s="34" t="b">
        <v>1</v>
      </c>
      <c r="G184" s="29" t="b">
        <v>1</v>
      </c>
      <c r="H184" s="30"/>
      <c r="I184" s="34"/>
      <c r="J184" s="29"/>
      <c r="K184" s="29"/>
      <c r="L184" s="29"/>
      <c r="M184" s="29" t="b">
        <v>1</v>
      </c>
      <c r="N184" s="29"/>
      <c r="O184" s="29"/>
      <c r="P184" s="29"/>
      <c r="Q184" s="29"/>
      <c r="R184" s="30"/>
      <c r="S184" s="84"/>
      <c r="T184" s="84"/>
      <c r="U184" s="31" t="s">
        <v>92</v>
      </c>
      <c r="V184" s="32" t="s">
        <v>71</v>
      </c>
      <c r="W184" s="35"/>
      <c r="X184" s="17">
        <v>0</v>
      </c>
      <c r="Y184" s="19">
        <v>0</v>
      </c>
    </row>
    <row r="185" spans="1:25" ht="21" x14ac:dyDescent="0.15">
      <c r="A185" s="26" t="s">
        <v>2056</v>
      </c>
      <c r="B185" s="26">
        <v>8</v>
      </c>
      <c r="C185" s="27" t="s">
        <v>2158</v>
      </c>
      <c r="D185" s="26">
        <v>15</v>
      </c>
      <c r="E185" s="27" t="s">
        <v>2442</v>
      </c>
      <c r="F185" s="34" t="b">
        <v>1</v>
      </c>
      <c r="G185" s="29" t="b">
        <v>1</v>
      </c>
      <c r="H185" s="30"/>
      <c r="I185" s="34"/>
      <c r="J185" s="29"/>
      <c r="K185" s="29"/>
      <c r="L185" s="29"/>
      <c r="M185" s="29" t="b">
        <v>1</v>
      </c>
      <c r="N185" s="29"/>
      <c r="O185" s="29"/>
      <c r="P185" s="29"/>
      <c r="Q185" s="29"/>
      <c r="R185" s="30"/>
      <c r="S185" s="84" t="s">
        <v>29</v>
      </c>
      <c r="T185" s="84" t="s">
        <v>91</v>
      </c>
      <c r="U185" s="31"/>
      <c r="V185" s="32" t="s">
        <v>71</v>
      </c>
      <c r="W185" s="35"/>
      <c r="X185" s="17">
        <v>0</v>
      </c>
      <c r="Y185" s="19">
        <v>0</v>
      </c>
    </row>
    <row r="186" spans="1:25" ht="28" x14ac:dyDescent="0.15">
      <c r="A186" s="26" t="s">
        <v>2056</v>
      </c>
      <c r="B186" s="26">
        <v>8</v>
      </c>
      <c r="C186" s="27" t="s">
        <v>2158</v>
      </c>
      <c r="D186" s="26">
        <v>15</v>
      </c>
      <c r="E186" s="27" t="s">
        <v>2443</v>
      </c>
      <c r="F186" s="34" t="b">
        <v>1</v>
      </c>
      <c r="G186" s="29" t="b">
        <v>1</v>
      </c>
      <c r="H186" s="30"/>
      <c r="I186" s="34"/>
      <c r="J186" s="29"/>
      <c r="K186" s="29"/>
      <c r="L186" s="29"/>
      <c r="M186" s="29" t="b">
        <v>1</v>
      </c>
      <c r="N186" s="29"/>
      <c r="O186" s="29"/>
      <c r="P186" s="29"/>
      <c r="Q186" s="29"/>
      <c r="R186" s="30"/>
      <c r="S186" s="84" t="s">
        <v>29</v>
      </c>
      <c r="T186" s="84" t="s">
        <v>91</v>
      </c>
      <c r="U186" s="31" t="s">
        <v>92</v>
      </c>
      <c r="V186" s="32" t="s">
        <v>71</v>
      </c>
      <c r="W186" s="35"/>
      <c r="X186" s="17">
        <v>0</v>
      </c>
      <c r="Y186" s="19">
        <v>0</v>
      </c>
    </row>
    <row r="187" spans="1:25" ht="28" x14ac:dyDescent="0.15">
      <c r="A187" s="26" t="s">
        <v>2056</v>
      </c>
      <c r="B187" s="26">
        <v>8</v>
      </c>
      <c r="C187" s="27" t="s">
        <v>2158</v>
      </c>
      <c r="D187" s="26">
        <v>16</v>
      </c>
      <c r="E187" s="27" t="s">
        <v>2444</v>
      </c>
      <c r="F187" s="34" t="b">
        <v>1</v>
      </c>
      <c r="G187" s="29" t="b">
        <v>1</v>
      </c>
      <c r="H187" s="30"/>
      <c r="I187" s="34"/>
      <c r="J187" s="29"/>
      <c r="K187" s="29"/>
      <c r="L187" s="29"/>
      <c r="M187" s="29" t="b">
        <v>1</v>
      </c>
      <c r="N187" s="29"/>
      <c r="O187" s="29"/>
      <c r="P187" s="29"/>
      <c r="Q187" s="29"/>
      <c r="R187" s="30"/>
      <c r="S187" s="84" t="s">
        <v>29</v>
      </c>
      <c r="T187" s="84" t="s">
        <v>91</v>
      </c>
      <c r="U187" s="31" t="s">
        <v>92</v>
      </c>
      <c r="V187" s="32" t="s">
        <v>71</v>
      </c>
      <c r="W187" s="35"/>
      <c r="X187" s="17">
        <v>0</v>
      </c>
      <c r="Y187" s="19">
        <v>0</v>
      </c>
    </row>
    <row r="188" spans="1:25" ht="28" x14ac:dyDescent="0.15">
      <c r="A188" s="26" t="s">
        <v>2056</v>
      </c>
      <c r="B188" s="26">
        <v>8</v>
      </c>
      <c r="C188" s="27" t="s">
        <v>2158</v>
      </c>
      <c r="D188" s="26">
        <v>16</v>
      </c>
      <c r="E188" s="27" t="s">
        <v>2445</v>
      </c>
      <c r="F188" s="34" t="b">
        <v>1</v>
      </c>
      <c r="G188" s="29" t="b">
        <v>1</v>
      </c>
      <c r="H188" s="30"/>
      <c r="I188" s="34"/>
      <c r="J188" s="29"/>
      <c r="K188" s="29"/>
      <c r="L188" s="29"/>
      <c r="M188" s="29" t="b">
        <v>1</v>
      </c>
      <c r="N188" s="29"/>
      <c r="O188" s="29"/>
      <c r="P188" s="29"/>
      <c r="Q188" s="29"/>
      <c r="R188" s="30"/>
      <c r="S188" s="84" t="s">
        <v>29</v>
      </c>
      <c r="T188" s="84" t="s">
        <v>91</v>
      </c>
      <c r="U188" s="31" t="s">
        <v>92</v>
      </c>
      <c r="V188" s="32" t="s">
        <v>71</v>
      </c>
      <c r="W188" s="35"/>
      <c r="X188" s="17">
        <v>0</v>
      </c>
      <c r="Y188" s="19">
        <v>0</v>
      </c>
    </row>
    <row r="189" spans="1:25" ht="28" x14ac:dyDescent="0.15">
      <c r="A189" s="26" t="s">
        <v>2056</v>
      </c>
      <c r="B189" s="26">
        <v>8</v>
      </c>
      <c r="C189" s="27" t="s">
        <v>2158</v>
      </c>
      <c r="D189" s="26">
        <v>16</v>
      </c>
      <c r="E189" s="27" t="s">
        <v>2446</v>
      </c>
      <c r="F189" s="34" t="b">
        <v>1</v>
      </c>
      <c r="G189" s="29" t="b">
        <v>1</v>
      </c>
      <c r="H189" s="30"/>
      <c r="I189" s="34"/>
      <c r="J189" s="29"/>
      <c r="K189" s="29"/>
      <c r="L189" s="29"/>
      <c r="M189" s="29" t="b">
        <v>1</v>
      </c>
      <c r="N189" s="29"/>
      <c r="O189" s="29"/>
      <c r="P189" s="29"/>
      <c r="Q189" s="29"/>
      <c r="R189" s="30"/>
      <c r="S189" s="84" t="s">
        <v>29</v>
      </c>
      <c r="T189" s="84" t="s">
        <v>91</v>
      </c>
      <c r="U189" s="31" t="s">
        <v>92</v>
      </c>
      <c r="V189" s="32" t="s">
        <v>71</v>
      </c>
      <c r="W189" s="35"/>
      <c r="X189" s="17">
        <v>0</v>
      </c>
      <c r="Y189" s="19">
        <v>0</v>
      </c>
    </row>
    <row r="190" spans="1:25" ht="28" x14ac:dyDescent="0.15">
      <c r="A190" s="26" t="s">
        <v>2056</v>
      </c>
      <c r="B190" s="26">
        <v>8</v>
      </c>
      <c r="C190" s="27" t="s">
        <v>2158</v>
      </c>
      <c r="D190" s="26">
        <v>17</v>
      </c>
      <c r="E190" s="27" t="s">
        <v>2447</v>
      </c>
      <c r="F190" s="34" t="b">
        <v>1</v>
      </c>
      <c r="G190" s="29" t="b">
        <v>1</v>
      </c>
      <c r="H190" s="30"/>
      <c r="I190" s="34"/>
      <c r="J190" s="29"/>
      <c r="K190" s="29"/>
      <c r="L190" s="29"/>
      <c r="M190" s="29" t="b">
        <v>1</v>
      </c>
      <c r="N190" s="29"/>
      <c r="O190" s="29"/>
      <c r="P190" s="29"/>
      <c r="Q190" s="29"/>
      <c r="R190" s="30"/>
      <c r="S190" s="84" t="s">
        <v>29</v>
      </c>
      <c r="T190" s="84" t="s">
        <v>91</v>
      </c>
      <c r="U190" s="31" t="s">
        <v>92</v>
      </c>
      <c r="V190" s="32" t="s">
        <v>71</v>
      </c>
      <c r="W190" s="35" t="s">
        <v>52</v>
      </c>
      <c r="X190" s="17">
        <v>0</v>
      </c>
      <c r="Y190" s="19">
        <v>0</v>
      </c>
    </row>
    <row r="191" spans="1:25" ht="28" x14ac:dyDescent="0.15">
      <c r="A191" s="26" t="s">
        <v>2056</v>
      </c>
      <c r="B191" s="26">
        <v>8</v>
      </c>
      <c r="C191" s="27" t="s">
        <v>2158</v>
      </c>
      <c r="D191" s="26">
        <v>17</v>
      </c>
      <c r="E191" s="27" t="s">
        <v>2448</v>
      </c>
      <c r="F191" s="34" t="b">
        <v>1</v>
      </c>
      <c r="G191" s="29" t="b">
        <v>1</v>
      </c>
      <c r="H191" s="30"/>
      <c r="I191" s="34"/>
      <c r="J191" s="29"/>
      <c r="K191" s="29"/>
      <c r="L191" s="29"/>
      <c r="M191" s="29" t="b">
        <v>1</v>
      </c>
      <c r="N191" s="29"/>
      <c r="O191" s="29"/>
      <c r="P191" s="29"/>
      <c r="Q191" s="29"/>
      <c r="R191" s="30"/>
      <c r="S191" s="84" t="s">
        <v>29</v>
      </c>
      <c r="T191" s="84" t="s">
        <v>91</v>
      </c>
      <c r="U191" s="31" t="s">
        <v>92</v>
      </c>
      <c r="V191" s="32" t="s">
        <v>71</v>
      </c>
      <c r="W191" s="35" t="s">
        <v>52</v>
      </c>
      <c r="X191" s="17">
        <v>0</v>
      </c>
      <c r="Y191" s="19">
        <v>0</v>
      </c>
    </row>
    <row r="192" spans="1:25" ht="28" x14ac:dyDescent="0.15">
      <c r="A192" s="26" t="s">
        <v>2056</v>
      </c>
      <c r="B192" s="26">
        <v>8</v>
      </c>
      <c r="C192" s="27" t="s">
        <v>2158</v>
      </c>
      <c r="D192" s="26">
        <v>17</v>
      </c>
      <c r="E192" s="27" t="s">
        <v>2449</v>
      </c>
      <c r="F192" s="34" t="b">
        <v>1</v>
      </c>
      <c r="G192" s="29" t="b">
        <v>1</v>
      </c>
      <c r="H192" s="30"/>
      <c r="I192" s="34"/>
      <c r="J192" s="29"/>
      <c r="K192" s="29"/>
      <c r="L192" s="29"/>
      <c r="M192" s="29" t="b">
        <v>1</v>
      </c>
      <c r="N192" s="29"/>
      <c r="O192" s="29"/>
      <c r="P192" s="29"/>
      <c r="Q192" s="29"/>
      <c r="R192" s="30"/>
      <c r="S192" s="84" t="s">
        <v>29</v>
      </c>
      <c r="T192" s="84"/>
      <c r="U192" s="31" t="s">
        <v>92</v>
      </c>
      <c r="V192" s="32" t="s">
        <v>71</v>
      </c>
      <c r="W192" s="35" t="s">
        <v>52</v>
      </c>
      <c r="X192" s="17">
        <v>0</v>
      </c>
      <c r="Y192" s="19">
        <v>0</v>
      </c>
    </row>
    <row r="193" spans="1:25" ht="28" x14ac:dyDescent="0.15">
      <c r="A193" s="26" t="s">
        <v>2056</v>
      </c>
      <c r="B193" s="26">
        <v>8</v>
      </c>
      <c r="C193" s="27" t="s">
        <v>2158</v>
      </c>
      <c r="D193" s="26">
        <v>18</v>
      </c>
      <c r="E193" s="27" t="s">
        <v>2450</v>
      </c>
      <c r="F193" s="34" t="b">
        <v>1</v>
      </c>
      <c r="G193" s="29" t="b">
        <v>1</v>
      </c>
      <c r="H193" s="30"/>
      <c r="I193" s="34"/>
      <c r="J193" s="29"/>
      <c r="K193" s="29"/>
      <c r="L193" s="29"/>
      <c r="M193" s="29" t="b">
        <v>1</v>
      </c>
      <c r="N193" s="29"/>
      <c r="O193" s="29"/>
      <c r="P193" s="29"/>
      <c r="Q193" s="29"/>
      <c r="R193" s="30"/>
      <c r="S193" s="84" t="s">
        <v>29</v>
      </c>
      <c r="T193" s="84" t="s">
        <v>91</v>
      </c>
      <c r="U193" s="31" t="s">
        <v>92</v>
      </c>
      <c r="V193" s="32" t="s">
        <v>71</v>
      </c>
      <c r="W193" s="35" t="s">
        <v>52</v>
      </c>
      <c r="X193" s="17">
        <v>0</v>
      </c>
      <c r="Y193" s="19">
        <v>0</v>
      </c>
    </row>
    <row r="194" spans="1:25" ht="28" x14ac:dyDescent="0.15">
      <c r="A194" s="26" t="s">
        <v>2056</v>
      </c>
      <c r="B194" s="26">
        <v>9</v>
      </c>
      <c r="C194" s="27" t="s">
        <v>2403</v>
      </c>
      <c r="D194" s="26">
        <v>4</v>
      </c>
      <c r="E194" s="27" t="s">
        <v>2068</v>
      </c>
      <c r="F194" s="34" t="b">
        <v>1</v>
      </c>
      <c r="G194" s="29" t="b">
        <v>1</v>
      </c>
      <c r="H194" s="30"/>
      <c r="I194" s="34" t="b">
        <v>1</v>
      </c>
      <c r="J194" s="29"/>
      <c r="K194" s="29"/>
      <c r="L194" s="29"/>
      <c r="M194" s="29"/>
      <c r="N194" s="29"/>
      <c r="O194" s="29"/>
      <c r="P194" s="29"/>
      <c r="Q194" s="29"/>
      <c r="R194" s="30"/>
      <c r="S194" s="84" t="s">
        <v>29</v>
      </c>
      <c r="T194" s="84" t="s">
        <v>91</v>
      </c>
      <c r="U194" s="31" t="s">
        <v>92</v>
      </c>
      <c r="V194" s="32" t="s">
        <v>71</v>
      </c>
      <c r="W194" s="35" t="s">
        <v>52</v>
      </c>
      <c r="X194" s="17">
        <v>1</v>
      </c>
      <c r="Y194" s="19">
        <v>0</v>
      </c>
    </row>
    <row r="195" spans="1:25" ht="28" x14ac:dyDescent="0.15">
      <c r="A195" s="26" t="s">
        <v>2056</v>
      </c>
      <c r="B195" s="26">
        <v>9</v>
      </c>
      <c r="C195" s="27" t="s">
        <v>2403</v>
      </c>
      <c r="D195" s="26">
        <v>4</v>
      </c>
      <c r="E195" s="27" t="s">
        <v>2067</v>
      </c>
      <c r="F195" s="34" t="b">
        <v>1</v>
      </c>
      <c r="G195" s="29" t="b">
        <v>1</v>
      </c>
      <c r="H195" s="30"/>
      <c r="I195" s="34" t="b">
        <v>1</v>
      </c>
      <c r="J195" s="29"/>
      <c r="K195" s="29"/>
      <c r="L195" s="29"/>
      <c r="M195" s="29"/>
      <c r="N195" s="29"/>
      <c r="O195" s="29"/>
      <c r="P195" s="29"/>
      <c r="Q195" s="29"/>
      <c r="R195" s="30"/>
      <c r="S195" s="84" t="s">
        <v>29</v>
      </c>
      <c r="T195" s="84" t="s">
        <v>91</v>
      </c>
      <c r="U195" s="31" t="s">
        <v>92</v>
      </c>
      <c r="V195" s="32" t="s">
        <v>71</v>
      </c>
      <c r="W195" s="35" t="s">
        <v>52</v>
      </c>
      <c r="X195" s="17">
        <v>1</v>
      </c>
      <c r="Y195" s="19">
        <v>0</v>
      </c>
    </row>
    <row r="196" spans="1:25" ht="28" x14ac:dyDescent="0.15">
      <c r="A196" s="26" t="s">
        <v>2056</v>
      </c>
      <c r="B196" s="26">
        <v>9</v>
      </c>
      <c r="C196" s="27" t="s">
        <v>2403</v>
      </c>
      <c r="D196" s="26">
        <v>4</v>
      </c>
      <c r="E196" s="27" t="s">
        <v>2069</v>
      </c>
      <c r="F196" s="34" t="b">
        <v>1</v>
      </c>
      <c r="G196" s="29" t="b">
        <v>1</v>
      </c>
      <c r="H196" s="30"/>
      <c r="I196" s="34" t="b">
        <v>1</v>
      </c>
      <c r="J196" s="29"/>
      <c r="K196" s="29"/>
      <c r="L196" s="29"/>
      <c r="M196" s="29"/>
      <c r="N196" s="29"/>
      <c r="O196" s="29"/>
      <c r="P196" s="29"/>
      <c r="Q196" s="29" t="b">
        <v>1</v>
      </c>
      <c r="R196" s="30"/>
      <c r="S196" s="84" t="s">
        <v>29</v>
      </c>
      <c r="T196" s="84" t="s">
        <v>91</v>
      </c>
      <c r="U196" s="31" t="s">
        <v>92</v>
      </c>
      <c r="V196" s="32" t="s">
        <v>71</v>
      </c>
      <c r="W196" s="35" t="s">
        <v>52</v>
      </c>
      <c r="X196" s="17">
        <v>1</v>
      </c>
      <c r="Y196" s="19">
        <v>0</v>
      </c>
    </row>
    <row r="197" spans="1:25" ht="28" x14ac:dyDescent="0.15">
      <c r="A197" s="26" t="s">
        <v>2056</v>
      </c>
      <c r="B197" s="26">
        <v>9</v>
      </c>
      <c r="C197" s="27" t="s">
        <v>2403</v>
      </c>
      <c r="D197" s="26">
        <v>5</v>
      </c>
      <c r="E197" s="27" t="s">
        <v>2070</v>
      </c>
      <c r="F197" s="34" t="b">
        <v>1</v>
      </c>
      <c r="G197" s="29" t="b">
        <v>1</v>
      </c>
      <c r="H197" s="30"/>
      <c r="I197" s="34" t="b">
        <v>1</v>
      </c>
      <c r="J197" s="29"/>
      <c r="K197" s="29"/>
      <c r="L197" s="29"/>
      <c r="M197" s="29"/>
      <c r="N197" s="29"/>
      <c r="O197" s="29"/>
      <c r="P197" s="29"/>
      <c r="Q197" s="29"/>
      <c r="R197" s="30"/>
      <c r="S197" s="84" t="s">
        <v>29</v>
      </c>
      <c r="T197" s="84" t="s">
        <v>91</v>
      </c>
      <c r="U197" s="31" t="s">
        <v>92</v>
      </c>
      <c r="V197" s="32" t="s">
        <v>71</v>
      </c>
      <c r="W197" s="35" t="s">
        <v>52</v>
      </c>
      <c r="X197" s="17">
        <v>1</v>
      </c>
      <c r="Y197" s="19">
        <v>0</v>
      </c>
    </row>
    <row r="198" spans="1:25" ht="28" x14ac:dyDescent="0.15">
      <c r="A198" s="26" t="s">
        <v>2056</v>
      </c>
      <c r="B198" s="26">
        <v>9</v>
      </c>
      <c r="C198" s="27" t="s">
        <v>2403</v>
      </c>
      <c r="D198" s="26">
        <v>5</v>
      </c>
      <c r="E198" s="27" t="s">
        <v>2072</v>
      </c>
      <c r="F198" s="34" t="b">
        <v>1</v>
      </c>
      <c r="G198" s="29" t="b">
        <v>1</v>
      </c>
      <c r="H198" s="30"/>
      <c r="I198" s="34" t="b">
        <v>1</v>
      </c>
      <c r="J198" s="29"/>
      <c r="K198" s="29"/>
      <c r="L198" s="29"/>
      <c r="M198" s="29"/>
      <c r="N198" s="29"/>
      <c r="O198" s="29"/>
      <c r="P198" s="29"/>
      <c r="Q198" s="29"/>
      <c r="R198" s="30"/>
      <c r="S198" s="84" t="s">
        <v>29</v>
      </c>
      <c r="T198" s="84" t="s">
        <v>91</v>
      </c>
      <c r="U198" s="31" t="s">
        <v>92</v>
      </c>
      <c r="V198" s="32" t="s">
        <v>71</v>
      </c>
      <c r="W198" s="35" t="s">
        <v>52</v>
      </c>
      <c r="X198" s="17">
        <v>1</v>
      </c>
      <c r="Y198" s="19">
        <v>0</v>
      </c>
    </row>
    <row r="199" spans="1:25" ht="28" x14ac:dyDescent="0.15">
      <c r="A199" s="26" t="s">
        <v>2056</v>
      </c>
      <c r="B199" s="26">
        <v>9</v>
      </c>
      <c r="C199" s="27" t="s">
        <v>2403</v>
      </c>
      <c r="D199" s="26">
        <v>5</v>
      </c>
      <c r="E199" s="27" t="s">
        <v>2071</v>
      </c>
      <c r="F199" s="34" t="b">
        <v>1</v>
      </c>
      <c r="G199" s="29" t="b">
        <v>1</v>
      </c>
      <c r="H199" s="30"/>
      <c r="I199" s="34" t="b">
        <v>1</v>
      </c>
      <c r="J199" s="29"/>
      <c r="K199" s="29"/>
      <c r="L199" s="29"/>
      <c r="M199" s="29"/>
      <c r="N199" s="29"/>
      <c r="O199" s="29"/>
      <c r="P199" s="29"/>
      <c r="Q199" s="29" t="b">
        <v>1</v>
      </c>
      <c r="R199" s="30"/>
      <c r="S199" s="84" t="s">
        <v>29</v>
      </c>
      <c r="T199" s="84" t="s">
        <v>91</v>
      </c>
      <c r="U199" s="31" t="s">
        <v>92</v>
      </c>
      <c r="V199" s="32" t="s">
        <v>71</v>
      </c>
      <c r="W199" s="35" t="s">
        <v>52</v>
      </c>
      <c r="X199" s="17">
        <v>1</v>
      </c>
      <c r="Y199" s="19">
        <v>0</v>
      </c>
    </row>
    <row r="200" spans="1:25" ht="28" x14ac:dyDescent="0.15">
      <c r="A200" s="26" t="s">
        <v>2056</v>
      </c>
      <c r="B200" s="26">
        <v>9</v>
      </c>
      <c r="C200" s="27" t="s">
        <v>2403</v>
      </c>
      <c r="D200" s="26">
        <v>6</v>
      </c>
      <c r="E200" s="27" t="s">
        <v>2073</v>
      </c>
      <c r="F200" s="34" t="b">
        <v>1</v>
      </c>
      <c r="G200" s="29" t="b">
        <v>1</v>
      </c>
      <c r="H200" s="30"/>
      <c r="I200" s="34" t="b">
        <v>1</v>
      </c>
      <c r="J200" s="29"/>
      <c r="K200" s="29"/>
      <c r="L200" s="29" t="b">
        <v>1</v>
      </c>
      <c r="M200" s="29"/>
      <c r="N200" s="29"/>
      <c r="O200" s="29"/>
      <c r="P200" s="29"/>
      <c r="Q200" s="29"/>
      <c r="R200" s="30"/>
      <c r="S200" s="84"/>
      <c r="T200" s="84"/>
      <c r="U200" s="31" t="s">
        <v>92</v>
      </c>
      <c r="V200" s="32" t="s">
        <v>71</v>
      </c>
      <c r="W200" s="35" t="s">
        <v>52</v>
      </c>
      <c r="X200" s="17">
        <v>1</v>
      </c>
      <c r="Y200" s="19">
        <v>0</v>
      </c>
    </row>
    <row r="201" spans="1:25" ht="28" x14ac:dyDescent="0.15">
      <c r="A201" s="26" t="s">
        <v>2056</v>
      </c>
      <c r="B201" s="26">
        <v>9</v>
      </c>
      <c r="C201" s="27" t="s">
        <v>2403</v>
      </c>
      <c r="D201" s="26">
        <v>6</v>
      </c>
      <c r="E201" s="27" t="s">
        <v>2074</v>
      </c>
      <c r="F201" s="34" t="b">
        <v>1</v>
      </c>
      <c r="G201" s="29" t="b">
        <v>1</v>
      </c>
      <c r="H201" s="30"/>
      <c r="I201" s="34" t="b">
        <v>1</v>
      </c>
      <c r="J201" s="29"/>
      <c r="K201" s="29"/>
      <c r="L201" s="29"/>
      <c r="M201" s="29"/>
      <c r="N201" s="29"/>
      <c r="O201" s="29"/>
      <c r="P201" s="29"/>
      <c r="Q201" s="29"/>
      <c r="R201" s="30"/>
      <c r="S201" s="84" t="s">
        <v>29</v>
      </c>
      <c r="T201" s="84"/>
      <c r="U201" s="31" t="s">
        <v>92</v>
      </c>
      <c r="V201" s="32" t="s">
        <v>71</v>
      </c>
      <c r="W201" s="35" t="s">
        <v>52</v>
      </c>
      <c r="X201" s="17">
        <v>1</v>
      </c>
      <c r="Y201" s="19">
        <v>0</v>
      </c>
    </row>
    <row r="202" spans="1:25" ht="28" x14ac:dyDescent="0.15">
      <c r="A202" s="26" t="s">
        <v>2056</v>
      </c>
      <c r="B202" s="26">
        <v>9</v>
      </c>
      <c r="C202" s="27" t="s">
        <v>2403</v>
      </c>
      <c r="D202" s="26">
        <v>6</v>
      </c>
      <c r="E202" s="27" t="s">
        <v>2075</v>
      </c>
      <c r="F202" s="34" t="b">
        <v>1</v>
      </c>
      <c r="G202" s="29" t="b">
        <v>1</v>
      </c>
      <c r="H202" s="30"/>
      <c r="I202" s="34" t="b">
        <v>1</v>
      </c>
      <c r="J202" s="29"/>
      <c r="K202" s="29"/>
      <c r="L202" s="29"/>
      <c r="M202" s="29"/>
      <c r="N202" s="29"/>
      <c r="O202" s="29"/>
      <c r="P202" s="29"/>
      <c r="Q202" s="29" t="b">
        <v>1</v>
      </c>
      <c r="R202" s="30"/>
      <c r="S202" s="84" t="s">
        <v>29</v>
      </c>
      <c r="T202" s="84" t="s">
        <v>91</v>
      </c>
      <c r="U202" s="31"/>
      <c r="V202" s="32"/>
      <c r="W202" s="35" t="s">
        <v>52</v>
      </c>
      <c r="X202" s="17">
        <v>1</v>
      </c>
      <c r="Y202" s="19">
        <v>0</v>
      </c>
    </row>
    <row r="203" spans="1:25" ht="28" x14ac:dyDescent="0.15">
      <c r="A203" s="26" t="s">
        <v>2056</v>
      </c>
      <c r="B203" s="26">
        <v>9</v>
      </c>
      <c r="C203" s="27" t="s">
        <v>2403</v>
      </c>
      <c r="D203" s="26">
        <v>7</v>
      </c>
      <c r="E203" s="27" t="s">
        <v>2076</v>
      </c>
      <c r="F203" s="34" t="b">
        <v>1</v>
      </c>
      <c r="G203" s="29" t="b">
        <v>1</v>
      </c>
      <c r="H203" s="30"/>
      <c r="I203" s="34" t="b">
        <v>1</v>
      </c>
      <c r="J203" s="29"/>
      <c r="K203" s="29"/>
      <c r="L203" s="29"/>
      <c r="M203" s="29"/>
      <c r="N203" s="29"/>
      <c r="O203" s="29"/>
      <c r="P203" s="29"/>
      <c r="Q203" s="29"/>
      <c r="R203" s="30"/>
      <c r="S203" s="84" t="s">
        <v>29</v>
      </c>
      <c r="T203" s="84" t="s">
        <v>91</v>
      </c>
      <c r="U203" s="31"/>
      <c r="V203" s="32" t="s">
        <v>71</v>
      </c>
      <c r="W203" s="35" t="s">
        <v>52</v>
      </c>
      <c r="X203" s="17">
        <v>1</v>
      </c>
      <c r="Y203" s="19">
        <v>0</v>
      </c>
    </row>
    <row r="204" spans="1:25" ht="28" x14ac:dyDescent="0.15">
      <c r="A204" s="26" t="s">
        <v>2056</v>
      </c>
      <c r="B204" s="26">
        <v>9</v>
      </c>
      <c r="C204" s="27" t="s">
        <v>2403</v>
      </c>
      <c r="D204" s="26">
        <v>7</v>
      </c>
      <c r="E204" s="27" t="s">
        <v>2078</v>
      </c>
      <c r="F204" s="34" t="b">
        <v>1</v>
      </c>
      <c r="G204" s="29" t="b">
        <v>1</v>
      </c>
      <c r="H204" s="30"/>
      <c r="I204" s="34" t="b">
        <v>1</v>
      </c>
      <c r="J204" s="29"/>
      <c r="K204" s="29"/>
      <c r="L204" s="29"/>
      <c r="M204" s="29"/>
      <c r="N204" s="29"/>
      <c r="O204" s="29"/>
      <c r="P204" s="29"/>
      <c r="Q204" s="29" t="b">
        <v>1</v>
      </c>
      <c r="R204" s="30"/>
      <c r="S204" s="84" t="s">
        <v>29</v>
      </c>
      <c r="T204" s="84" t="s">
        <v>91</v>
      </c>
      <c r="U204" s="31" t="s">
        <v>92</v>
      </c>
      <c r="V204" s="32" t="s">
        <v>71</v>
      </c>
      <c r="W204" s="35" t="s">
        <v>52</v>
      </c>
      <c r="X204" s="17">
        <v>1</v>
      </c>
      <c r="Y204" s="19">
        <v>0</v>
      </c>
    </row>
    <row r="205" spans="1:25" ht="28" x14ac:dyDescent="0.15">
      <c r="A205" s="26" t="s">
        <v>2056</v>
      </c>
      <c r="B205" s="26">
        <v>9</v>
      </c>
      <c r="C205" s="27" t="s">
        <v>2403</v>
      </c>
      <c r="D205" s="26">
        <v>7</v>
      </c>
      <c r="E205" s="27" t="s">
        <v>2077</v>
      </c>
      <c r="F205" s="34" t="b">
        <v>1</v>
      </c>
      <c r="G205" s="29" t="b">
        <v>1</v>
      </c>
      <c r="H205" s="30"/>
      <c r="I205" s="34" t="b">
        <v>1</v>
      </c>
      <c r="J205" s="29"/>
      <c r="K205" s="29"/>
      <c r="L205" s="29"/>
      <c r="M205" s="29"/>
      <c r="N205" s="29"/>
      <c r="O205" s="29"/>
      <c r="P205" s="29"/>
      <c r="Q205" s="29"/>
      <c r="R205" s="30"/>
      <c r="S205" s="84" t="s">
        <v>29</v>
      </c>
      <c r="T205" s="84" t="s">
        <v>91</v>
      </c>
      <c r="U205" s="31" t="s">
        <v>92</v>
      </c>
      <c r="V205" s="32" t="s">
        <v>71</v>
      </c>
      <c r="W205" s="35" t="s">
        <v>52</v>
      </c>
      <c r="X205" s="17">
        <v>1</v>
      </c>
      <c r="Y205" s="19">
        <v>0</v>
      </c>
    </row>
    <row r="206" spans="1:25" ht="28" x14ac:dyDescent="0.15">
      <c r="A206" s="26" t="s">
        <v>2056</v>
      </c>
      <c r="B206" s="26">
        <v>9</v>
      </c>
      <c r="C206" s="27" t="s">
        <v>2403</v>
      </c>
      <c r="D206" s="26">
        <v>8</v>
      </c>
      <c r="E206" s="27" t="s">
        <v>2080</v>
      </c>
      <c r="F206" s="34" t="b">
        <v>1</v>
      </c>
      <c r="G206" s="29" t="b">
        <v>1</v>
      </c>
      <c r="H206" s="30"/>
      <c r="I206" s="34" t="b">
        <v>1</v>
      </c>
      <c r="J206" s="29"/>
      <c r="K206" s="29"/>
      <c r="L206" s="29"/>
      <c r="M206" s="29"/>
      <c r="N206" s="29"/>
      <c r="O206" s="29"/>
      <c r="P206" s="29"/>
      <c r="Q206" s="29"/>
      <c r="R206" s="30"/>
      <c r="S206" s="84" t="s">
        <v>29</v>
      </c>
      <c r="T206" s="84" t="s">
        <v>91</v>
      </c>
      <c r="U206" s="31" t="s">
        <v>92</v>
      </c>
      <c r="V206" s="32" t="s">
        <v>71</v>
      </c>
      <c r="W206" s="35" t="s">
        <v>52</v>
      </c>
      <c r="X206" s="17">
        <v>1</v>
      </c>
      <c r="Y206" s="19">
        <v>0</v>
      </c>
    </row>
    <row r="207" spans="1:25" ht="28" x14ac:dyDescent="0.2">
      <c r="A207" s="26" t="s">
        <v>2056</v>
      </c>
      <c r="B207" s="26">
        <v>9</v>
      </c>
      <c r="C207" s="27" t="s">
        <v>2403</v>
      </c>
      <c r="D207" s="26">
        <v>8</v>
      </c>
      <c r="E207" s="27" t="s">
        <v>2079</v>
      </c>
      <c r="F207" s="34" t="b">
        <v>1</v>
      </c>
      <c r="G207" s="29" t="b">
        <v>1</v>
      </c>
      <c r="H207" s="30"/>
      <c r="I207" s="34" t="b">
        <v>1</v>
      </c>
      <c r="J207" s="29"/>
      <c r="K207" s="29"/>
      <c r="L207" s="29"/>
      <c r="M207" s="29"/>
      <c r="N207" s="29"/>
      <c r="O207" s="29"/>
      <c r="P207" s="29"/>
      <c r="Q207" s="29"/>
      <c r="R207" s="30"/>
      <c r="S207" s="84" t="s">
        <v>97</v>
      </c>
      <c r="T207" s="84"/>
      <c r="U207" s="36"/>
      <c r="V207" s="38" t="s">
        <v>98</v>
      </c>
      <c r="W207" s="35"/>
      <c r="X207" s="17">
        <v>1</v>
      </c>
      <c r="Y207" s="19">
        <v>0</v>
      </c>
    </row>
    <row r="208" spans="1:25" ht="28" x14ac:dyDescent="0.2">
      <c r="A208" s="26" t="s">
        <v>2056</v>
      </c>
      <c r="B208" s="26">
        <v>9</v>
      </c>
      <c r="C208" s="27" t="s">
        <v>2403</v>
      </c>
      <c r="D208" s="26">
        <v>8</v>
      </c>
      <c r="E208" s="27" t="s">
        <v>2081</v>
      </c>
      <c r="F208" s="34" t="b">
        <v>1</v>
      </c>
      <c r="G208" s="29" t="b">
        <v>1</v>
      </c>
      <c r="H208" s="30"/>
      <c r="I208" s="34" t="b">
        <v>1</v>
      </c>
      <c r="J208" s="29"/>
      <c r="K208" s="29"/>
      <c r="L208" s="29"/>
      <c r="M208" s="29"/>
      <c r="N208" s="29"/>
      <c r="O208" s="29"/>
      <c r="P208" s="29"/>
      <c r="Q208" s="29" t="b">
        <v>1</v>
      </c>
      <c r="R208" s="30"/>
      <c r="S208" s="84" t="s">
        <v>73</v>
      </c>
      <c r="T208" s="84" t="s">
        <v>99</v>
      </c>
      <c r="U208" s="36" t="s">
        <v>100</v>
      </c>
      <c r="V208" s="38" t="s">
        <v>98</v>
      </c>
      <c r="W208" s="35"/>
      <c r="X208" s="17">
        <v>1</v>
      </c>
      <c r="Y208" s="19">
        <v>0</v>
      </c>
    </row>
    <row r="209" spans="1:25" ht="28" x14ac:dyDescent="0.15">
      <c r="A209" s="26" t="s">
        <v>2056</v>
      </c>
      <c r="B209" s="26">
        <v>9</v>
      </c>
      <c r="C209" s="27" t="s">
        <v>2403</v>
      </c>
      <c r="D209" s="26">
        <v>9</v>
      </c>
      <c r="E209" s="27" t="s">
        <v>2084</v>
      </c>
      <c r="F209" s="34" t="b">
        <v>1</v>
      </c>
      <c r="G209" s="29" t="b">
        <v>1</v>
      </c>
      <c r="H209" s="30"/>
      <c r="I209" s="34" t="b">
        <v>1</v>
      </c>
      <c r="J209" s="29"/>
      <c r="K209" s="29"/>
      <c r="L209" s="29"/>
      <c r="M209" s="29"/>
      <c r="N209" s="29"/>
      <c r="O209" s="29"/>
      <c r="P209" s="29"/>
      <c r="Q209" s="29"/>
      <c r="R209" s="30"/>
      <c r="S209" s="84" t="s">
        <v>97</v>
      </c>
      <c r="T209" s="84" t="s">
        <v>99</v>
      </c>
      <c r="U209" s="36"/>
      <c r="V209" s="37"/>
      <c r="W209" s="35"/>
      <c r="X209" s="17">
        <v>1</v>
      </c>
      <c r="Y209" s="19">
        <v>0</v>
      </c>
    </row>
    <row r="210" spans="1:25" ht="28" x14ac:dyDescent="0.15">
      <c r="A210" s="26" t="s">
        <v>2056</v>
      </c>
      <c r="B210" s="26">
        <v>9</v>
      </c>
      <c r="C210" s="27" t="s">
        <v>2403</v>
      </c>
      <c r="D210" s="26">
        <v>9</v>
      </c>
      <c r="E210" s="27" t="s">
        <v>2082</v>
      </c>
      <c r="F210" s="34" t="b">
        <v>1</v>
      </c>
      <c r="G210" s="29" t="b">
        <v>1</v>
      </c>
      <c r="H210" s="30"/>
      <c r="I210" s="34" t="b">
        <v>1</v>
      </c>
      <c r="J210" s="29"/>
      <c r="K210" s="29"/>
      <c r="L210" s="29"/>
      <c r="M210" s="29"/>
      <c r="N210" s="29"/>
      <c r="O210" s="29"/>
      <c r="P210" s="29"/>
      <c r="Q210" s="29" t="b">
        <v>1</v>
      </c>
      <c r="R210" s="30"/>
      <c r="S210" s="84" t="s">
        <v>97</v>
      </c>
      <c r="T210" s="84"/>
      <c r="U210" s="36"/>
      <c r="V210" s="37"/>
      <c r="W210" s="35"/>
      <c r="X210" s="17">
        <v>1</v>
      </c>
      <c r="Y210" s="19">
        <v>0</v>
      </c>
    </row>
    <row r="211" spans="1:25" ht="28" x14ac:dyDescent="0.15">
      <c r="A211" s="26" t="s">
        <v>2056</v>
      </c>
      <c r="B211" s="26">
        <v>9</v>
      </c>
      <c r="C211" s="27" t="s">
        <v>2403</v>
      </c>
      <c r="D211" s="26">
        <v>9</v>
      </c>
      <c r="E211" s="27" t="s">
        <v>2083</v>
      </c>
      <c r="F211" s="34" t="b">
        <v>1</v>
      </c>
      <c r="G211" s="29" t="b">
        <v>1</v>
      </c>
      <c r="H211" s="30"/>
      <c r="I211" s="34" t="b">
        <v>1</v>
      </c>
      <c r="J211" s="29"/>
      <c r="K211" s="29"/>
      <c r="L211" s="29"/>
      <c r="M211" s="29"/>
      <c r="N211" s="29"/>
      <c r="O211" s="29"/>
      <c r="P211" s="29"/>
      <c r="Q211" s="29" t="b">
        <v>1</v>
      </c>
      <c r="R211" s="30"/>
      <c r="S211" s="84" t="s">
        <v>97</v>
      </c>
      <c r="T211" s="84" t="s">
        <v>99</v>
      </c>
      <c r="U211" s="31" t="s">
        <v>100</v>
      </c>
      <c r="V211" s="32" t="s">
        <v>98</v>
      </c>
      <c r="W211" s="35"/>
      <c r="X211" s="17">
        <v>1</v>
      </c>
      <c r="Y211" s="19">
        <v>0</v>
      </c>
    </row>
    <row r="212" spans="1:25" ht="28" x14ac:dyDescent="0.15">
      <c r="A212" s="26" t="s">
        <v>2056</v>
      </c>
      <c r="B212" s="26">
        <v>9</v>
      </c>
      <c r="C212" s="27" t="s">
        <v>2403</v>
      </c>
      <c r="D212" s="26">
        <v>10</v>
      </c>
      <c r="E212" s="27" t="s">
        <v>2086</v>
      </c>
      <c r="F212" s="34" t="b">
        <v>1</v>
      </c>
      <c r="G212" s="29" t="b">
        <v>1</v>
      </c>
      <c r="H212" s="30"/>
      <c r="I212" s="34" t="b">
        <v>1</v>
      </c>
      <c r="J212" s="29"/>
      <c r="K212" s="29"/>
      <c r="L212" s="29"/>
      <c r="M212" s="29"/>
      <c r="N212" s="29"/>
      <c r="O212" s="29"/>
      <c r="P212" s="29"/>
      <c r="Q212" s="29"/>
      <c r="R212" s="30"/>
      <c r="S212" s="84" t="s">
        <v>97</v>
      </c>
      <c r="T212" s="84" t="s">
        <v>99</v>
      </c>
      <c r="U212" s="36" t="s">
        <v>100</v>
      </c>
      <c r="V212" s="37"/>
      <c r="W212" s="35"/>
      <c r="X212" s="17">
        <v>1</v>
      </c>
      <c r="Y212" s="19">
        <v>0</v>
      </c>
    </row>
    <row r="213" spans="1:25" ht="28" x14ac:dyDescent="0.15">
      <c r="A213" s="26" t="s">
        <v>2056</v>
      </c>
      <c r="B213" s="26">
        <v>9</v>
      </c>
      <c r="C213" s="27" t="s">
        <v>2403</v>
      </c>
      <c r="D213" s="26">
        <v>10</v>
      </c>
      <c r="E213" s="27" t="s">
        <v>2085</v>
      </c>
      <c r="F213" s="34" t="b">
        <v>1</v>
      </c>
      <c r="G213" s="29" t="b">
        <v>1</v>
      </c>
      <c r="H213" s="30"/>
      <c r="I213" s="34" t="b">
        <v>1</v>
      </c>
      <c r="J213" s="29"/>
      <c r="K213" s="29"/>
      <c r="L213" s="29"/>
      <c r="M213" s="29"/>
      <c r="N213" s="29"/>
      <c r="O213" s="29"/>
      <c r="P213" s="29"/>
      <c r="Q213" s="29"/>
      <c r="R213" s="30"/>
      <c r="S213" s="84" t="s">
        <v>97</v>
      </c>
      <c r="T213" s="84" t="s">
        <v>99</v>
      </c>
      <c r="U213" s="31"/>
      <c r="V213" s="32"/>
      <c r="W213" s="35"/>
      <c r="X213" s="17">
        <v>1</v>
      </c>
      <c r="Y213" s="19">
        <v>0</v>
      </c>
    </row>
    <row r="214" spans="1:25" ht="28" x14ac:dyDescent="0.15">
      <c r="A214" s="26" t="s">
        <v>2056</v>
      </c>
      <c r="B214" s="26">
        <v>9</v>
      </c>
      <c r="C214" s="27" t="s">
        <v>2403</v>
      </c>
      <c r="D214" s="26">
        <v>10</v>
      </c>
      <c r="E214" s="27" t="s">
        <v>2087</v>
      </c>
      <c r="F214" s="34" t="b">
        <v>1</v>
      </c>
      <c r="G214" s="29" t="b">
        <v>1</v>
      </c>
      <c r="H214" s="30"/>
      <c r="I214" s="34" t="b">
        <v>1</v>
      </c>
      <c r="J214" s="29"/>
      <c r="K214" s="29"/>
      <c r="L214" s="29"/>
      <c r="M214" s="29"/>
      <c r="N214" s="29"/>
      <c r="O214" s="29"/>
      <c r="P214" s="29"/>
      <c r="Q214" s="29"/>
      <c r="R214" s="30"/>
      <c r="S214" s="84" t="s">
        <v>97</v>
      </c>
      <c r="T214" s="84" t="s">
        <v>99</v>
      </c>
      <c r="U214" s="36" t="s">
        <v>100</v>
      </c>
      <c r="V214" s="37"/>
      <c r="W214" s="35"/>
      <c r="X214" s="17">
        <v>1</v>
      </c>
      <c r="Y214" s="19">
        <v>0</v>
      </c>
    </row>
    <row r="215" spans="1:25" ht="28" x14ac:dyDescent="0.15">
      <c r="A215" s="26" t="s">
        <v>2056</v>
      </c>
      <c r="B215" s="26">
        <v>9</v>
      </c>
      <c r="C215" s="27" t="s">
        <v>2403</v>
      </c>
      <c r="D215" s="26">
        <v>11</v>
      </c>
      <c r="E215" s="27" t="s">
        <v>2089</v>
      </c>
      <c r="F215" s="34" t="b">
        <v>1</v>
      </c>
      <c r="G215" s="29" t="b">
        <v>1</v>
      </c>
      <c r="H215" s="30"/>
      <c r="I215" s="34" t="b">
        <v>1</v>
      </c>
      <c r="J215" s="29"/>
      <c r="K215" s="29"/>
      <c r="L215" s="29"/>
      <c r="M215" s="29"/>
      <c r="N215" s="29"/>
      <c r="O215" s="29"/>
      <c r="P215" s="29"/>
      <c r="Q215" s="29"/>
      <c r="R215" s="30"/>
      <c r="S215" s="84" t="s">
        <v>97</v>
      </c>
      <c r="T215" s="84" t="s">
        <v>99</v>
      </c>
      <c r="U215" s="31" t="s">
        <v>100</v>
      </c>
      <c r="V215" s="32" t="s">
        <v>98</v>
      </c>
      <c r="W215" s="35"/>
      <c r="X215" s="17">
        <v>1</v>
      </c>
      <c r="Y215" s="19">
        <v>0</v>
      </c>
    </row>
    <row r="216" spans="1:25" ht="28" x14ac:dyDescent="0.15">
      <c r="A216" s="26" t="s">
        <v>2056</v>
      </c>
      <c r="B216" s="26">
        <v>9</v>
      </c>
      <c r="C216" s="27" t="s">
        <v>2403</v>
      </c>
      <c r="D216" s="26">
        <v>11</v>
      </c>
      <c r="E216" s="27" t="s">
        <v>2088</v>
      </c>
      <c r="F216" s="34" t="b">
        <v>1</v>
      </c>
      <c r="G216" s="29" t="b">
        <v>1</v>
      </c>
      <c r="H216" s="30"/>
      <c r="I216" s="34" t="b">
        <v>1</v>
      </c>
      <c r="J216" s="29"/>
      <c r="K216" s="29"/>
      <c r="L216" s="29" t="b">
        <v>1</v>
      </c>
      <c r="M216" s="29"/>
      <c r="N216" s="29"/>
      <c r="O216" s="29"/>
      <c r="P216" s="29"/>
      <c r="Q216" s="29"/>
      <c r="R216" s="30"/>
      <c r="S216" s="84" t="s">
        <v>97</v>
      </c>
      <c r="T216" s="84" t="s">
        <v>99</v>
      </c>
      <c r="U216" s="36" t="s">
        <v>100</v>
      </c>
      <c r="V216" s="37"/>
      <c r="W216" s="35"/>
      <c r="X216" s="17">
        <v>1</v>
      </c>
      <c r="Y216" s="19">
        <v>0</v>
      </c>
    </row>
    <row r="217" spans="1:25" ht="28" x14ac:dyDescent="0.15">
      <c r="A217" s="26" t="s">
        <v>2056</v>
      </c>
      <c r="B217" s="26">
        <v>9</v>
      </c>
      <c r="C217" s="27" t="s">
        <v>2403</v>
      </c>
      <c r="D217" s="26">
        <v>11</v>
      </c>
      <c r="E217" s="27" t="s">
        <v>2090</v>
      </c>
      <c r="F217" s="34" t="b">
        <v>1</v>
      </c>
      <c r="G217" s="29" t="b">
        <v>1</v>
      </c>
      <c r="H217" s="30"/>
      <c r="I217" s="34" t="b">
        <v>1</v>
      </c>
      <c r="J217" s="29"/>
      <c r="K217" s="29"/>
      <c r="L217" s="29"/>
      <c r="M217" s="29"/>
      <c r="N217" s="29"/>
      <c r="O217" s="29"/>
      <c r="P217" s="29"/>
      <c r="Q217" s="29" t="b">
        <v>1</v>
      </c>
      <c r="R217" s="30"/>
      <c r="S217" s="84" t="s">
        <v>73</v>
      </c>
      <c r="T217" s="84"/>
      <c r="U217" s="31"/>
      <c r="V217" s="32" t="s">
        <v>98</v>
      </c>
      <c r="W217" s="35"/>
      <c r="X217" s="17">
        <v>1</v>
      </c>
      <c r="Y217" s="19">
        <v>0</v>
      </c>
    </row>
    <row r="218" spans="1:25" ht="28" x14ac:dyDescent="0.15">
      <c r="A218" s="26" t="s">
        <v>2056</v>
      </c>
      <c r="B218" s="26">
        <v>9</v>
      </c>
      <c r="C218" s="27" t="s">
        <v>2403</v>
      </c>
      <c r="D218" s="26">
        <v>12</v>
      </c>
      <c r="E218" s="27" t="s">
        <v>2092</v>
      </c>
      <c r="F218" s="34" t="b">
        <v>1</v>
      </c>
      <c r="G218" s="29" t="b">
        <v>1</v>
      </c>
      <c r="H218" s="30"/>
      <c r="I218" s="34" t="b">
        <v>1</v>
      </c>
      <c r="J218" s="29"/>
      <c r="K218" s="29"/>
      <c r="L218" s="29"/>
      <c r="M218" s="29"/>
      <c r="N218" s="29"/>
      <c r="O218" s="29"/>
      <c r="P218" s="29"/>
      <c r="Q218" s="29" t="b">
        <v>1</v>
      </c>
      <c r="R218" s="30"/>
      <c r="S218" s="84" t="s">
        <v>73</v>
      </c>
      <c r="T218" s="84"/>
      <c r="U218" s="31" t="s">
        <v>8</v>
      </c>
      <c r="V218" s="32" t="s">
        <v>98</v>
      </c>
      <c r="W218" s="35"/>
      <c r="X218" s="17">
        <v>1</v>
      </c>
      <c r="Y218" s="19">
        <v>0</v>
      </c>
    </row>
    <row r="219" spans="1:25" ht="28" x14ac:dyDescent="0.15">
      <c r="A219" s="26" t="s">
        <v>2056</v>
      </c>
      <c r="B219" s="26">
        <v>9</v>
      </c>
      <c r="C219" s="27" t="s">
        <v>2403</v>
      </c>
      <c r="D219" s="26">
        <v>12</v>
      </c>
      <c r="E219" s="27" t="s">
        <v>2091</v>
      </c>
      <c r="F219" s="34" t="b">
        <v>1</v>
      </c>
      <c r="G219" s="29" t="b">
        <v>1</v>
      </c>
      <c r="H219" s="30"/>
      <c r="I219" s="34" t="b">
        <v>1</v>
      </c>
      <c r="J219" s="29"/>
      <c r="K219" s="29"/>
      <c r="L219" s="29"/>
      <c r="M219" s="29"/>
      <c r="N219" s="29"/>
      <c r="O219" s="29"/>
      <c r="P219" s="29"/>
      <c r="Q219" s="29" t="b">
        <v>1</v>
      </c>
      <c r="R219" s="30"/>
      <c r="S219" s="84" t="s">
        <v>73</v>
      </c>
      <c r="T219" s="84" t="s">
        <v>99</v>
      </c>
      <c r="U219" s="36" t="s">
        <v>8</v>
      </c>
      <c r="V219" s="37" t="s">
        <v>98</v>
      </c>
      <c r="W219" s="35"/>
      <c r="X219" s="17">
        <v>1</v>
      </c>
      <c r="Y219" s="19">
        <v>0</v>
      </c>
    </row>
    <row r="220" spans="1:25" ht="28" x14ac:dyDescent="0.15">
      <c r="A220" s="26" t="s">
        <v>2056</v>
      </c>
      <c r="B220" s="26">
        <v>10</v>
      </c>
      <c r="C220" s="27" t="s">
        <v>2405</v>
      </c>
      <c r="D220" s="26">
        <v>36</v>
      </c>
      <c r="E220" s="27" t="s">
        <v>2379</v>
      </c>
      <c r="F220" s="34" t="b">
        <v>1</v>
      </c>
      <c r="G220" s="29" t="b">
        <v>1</v>
      </c>
      <c r="H220" s="30"/>
      <c r="I220" s="34"/>
      <c r="J220" s="29"/>
      <c r="K220" s="29"/>
      <c r="L220" s="29"/>
      <c r="M220" s="29" t="b">
        <v>1</v>
      </c>
      <c r="N220" s="29"/>
      <c r="O220" s="29"/>
      <c r="P220" s="29"/>
      <c r="Q220" s="29" t="b">
        <v>1</v>
      </c>
      <c r="R220" s="30"/>
      <c r="S220" s="84"/>
      <c r="T220" s="84"/>
      <c r="U220" s="31" t="s">
        <v>100</v>
      </c>
      <c r="V220" s="32" t="s">
        <v>98</v>
      </c>
      <c r="W220" s="35"/>
      <c r="X220" s="17">
        <v>0</v>
      </c>
      <c r="Y220" s="19">
        <v>0</v>
      </c>
    </row>
    <row r="221" spans="1:25" ht="28" x14ac:dyDescent="0.15">
      <c r="A221" s="26" t="s">
        <v>2056</v>
      </c>
      <c r="B221" s="26">
        <v>10</v>
      </c>
      <c r="C221" s="27" t="s">
        <v>2405</v>
      </c>
      <c r="D221" s="26">
        <v>36</v>
      </c>
      <c r="E221" s="27" t="s">
        <v>2380</v>
      </c>
      <c r="F221" s="34" t="b">
        <v>1</v>
      </c>
      <c r="G221" s="29" t="b">
        <v>1</v>
      </c>
      <c r="H221" s="30"/>
      <c r="I221" s="34"/>
      <c r="J221" s="29"/>
      <c r="K221" s="29"/>
      <c r="L221" s="29"/>
      <c r="M221" s="29" t="b">
        <v>1</v>
      </c>
      <c r="N221" s="29"/>
      <c r="O221" s="29"/>
      <c r="P221" s="29"/>
      <c r="Q221" s="29" t="b">
        <v>1</v>
      </c>
      <c r="R221" s="30"/>
      <c r="S221" s="84"/>
      <c r="T221" s="84"/>
      <c r="U221" s="31"/>
      <c r="V221" s="37" t="s">
        <v>98</v>
      </c>
      <c r="W221" s="35"/>
      <c r="X221" s="17">
        <v>0</v>
      </c>
      <c r="Y221" s="19">
        <v>0</v>
      </c>
    </row>
    <row r="222" spans="1:25" ht="42" x14ac:dyDescent="0.15">
      <c r="A222" s="26" t="s">
        <v>2056</v>
      </c>
      <c r="B222" s="26">
        <v>10</v>
      </c>
      <c r="C222" s="27" t="s">
        <v>2405</v>
      </c>
      <c r="D222" s="26">
        <v>36</v>
      </c>
      <c r="E222" s="27" t="s">
        <v>2381</v>
      </c>
      <c r="F222" s="34" t="b">
        <v>1</v>
      </c>
      <c r="G222" s="29" t="b">
        <v>1</v>
      </c>
      <c r="H222" s="30"/>
      <c r="I222" s="34"/>
      <c r="J222" s="29"/>
      <c r="K222" s="29"/>
      <c r="L222" s="29"/>
      <c r="M222" s="29" t="b">
        <v>1</v>
      </c>
      <c r="N222" s="29"/>
      <c r="O222" s="29"/>
      <c r="P222" s="29"/>
      <c r="Q222" s="29" t="b">
        <v>1</v>
      </c>
      <c r="R222" s="30"/>
      <c r="S222" s="84" t="s">
        <v>96</v>
      </c>
      <c r="T222" s="84" t="s">
        <v>101</v>
      </c>
      <c r="U222" s="31"/>
      <c r="V222" s="32"/>
      <c r="W222" s="35"/>
      <c r="X222" s="17">
        <v>0</v>
      </c>
      <c r="Y222" s="19">
        <v>0</v>
      </c>
    </row>
    <row r="223" spans="1:25" ht="28" x14ac:dyDescent="0.15">
      <c r="A223" s="26" t="s">
        <v>2056</v>
      </c>
      <c r="B223" s="26">
        <v>10</v>
      </c>
      <c r="C223" s="27" t="s">
        <v>2405</v>
      </c>
      <c r="D223" s="26">
        <v>37</v>
      </c>
      <c r="E223" s="27" t="s">
        <v>2382</v>
      </c>
      <c r="F223" s="34" t="b">
        <v>1</v>
      </c>
      <c r="G223" s="29" t="b">
        <v>1</v>
      </c>
      <c r="H223" s="30"/>
      <c r="I223" s="34"/>
      <c r="J223" s="29"/>
      <c r="K223" s="29"/>
      <c r="L223" s="29"/>
      <c r="M223" s="29" t="b">
        <v>1</v>
      </c>
      <c r="N223" s="29"/>
      <c r="O223" s="29"/>
      <c r="P223" s="29"/>
      <c r="Q223" s="29" t="b">
        <v>1</v>
      </c>
      <c r="R223" s="30"/>
      <c r="S223" s="84" t="s">
        <v>96</v>
      </c>
      <c r="T223" s="84"/>
      <c r="U223" s="31"/>
      <c r="V223" s="32"/>
      <c r="W223" s="35"/>
      <c r="X223" s="17">
        <v>0</v>
      </c>
      <c r="Y223" s="19">
        <v>0</v>
      </c>
    </row>
    <row r="224" spans="1:25" ht="28" x14ac:dyDescent="0.15">
      <c r="A224" s="26" t="s">
        <v>2056</v>
      </c>
      <c r="B224" s="26">
        <v>10</v>
      </c>
      <c r="C224" s="27" t="s">
        <v>2405</v>
      </c>
      <c r="D224" s="26">
        <v>37</v>
      </c>
      <c r="E224" s="27" t="s">
        <v>2383</v>
      </c>
      <c r="F224" s="34" t="b">
        <v>1</v>
      </c>
      <c r="G224" s="29" t="b">
        <v>1</v>
      </c>
      <c r="H224" s="30"/>
      <c r="I224" s="34"/>
      <c r="J224" s="29"/>
      <c r="K224" s="29"/>
      <c r="L224" s="29"/>
      <c r="M224" s="29"/>
      <c r="N224" s="29"/>
      <c r="O224" s="29"/>
      <c r="P224" s="29"/>
      <c r="Q224" s="29" t="b">
        <v>1</v>
      </c>
      <c r="R224" s="30"/>
      <c r="S224" s="84" t="s">
        <v>102</v>
      </c>
      <c r="T224" s="84"/>
      <c r="U224" s="31"/>
      <c r="V224" s="32"/>
      <c r="W224" s="35"/>
      <c r="X224" s="17">
        <v>0</v>
      </c>
      <c r="Y224" s="19">
        <v>0</v>
      </c>
    </row>
    <row r="225" spans="1:25" ht="28" x14ac:dyDescent="0.15">
      <c r="A225" s="26" t="s">
        <v>2056</v>
      </c>
      <c r="B225" s="26">
        <v>10</v>
      </c>
      <c r="C225" s="27" t="s">
        <v>2405</v>
      </c>
      <c r="D225" s="26">
        <v>38</v>
      </c>
      <c r="E225" s="27" t="s">
        <v>2384</v>
      </c>
      <c r="F225" s="34" t="b">
        <v>1</v>
      </c>
      <c r="G225" s="29" t="b">
        <v>1</v>
      </c>
      <c r="H225" s="30"/>
      <c r="I225" s="34"/>
      <c r="J225" s="29"/>
      <c r="K225" s="29" t="b">
        <v>1</v>
      </c>
      <c r="L225" s="29"/>
      <c r="M225" s="29" t="b">
        <v>1</v>
      </c>
      <c r="N225" s="29"/>
      <c r="O225" s="29"/>
      <c r="P225" s="29"/>
      <c r="Q225" s="29" t="b">
        <v>1</v>
      </c>
      <c r="R225" s="30"/>
      <c r="S225" s="84" t="s">
        <v>96</v>
      </c>
      <c r="T225" s="84"/>
      <c r="U225" s="31"/>
      <c r="V225" s="32"/>
      <c r="W225" s="35"/>
      <c r="X225" s="17">
        <v>0</v>
      </c>
      <c r="Y225" s="19">
        <v>0</v>
      </c>
    </row>
    <row r="226" spans="1:25" ht="28" x14ac:dyDescent="0.15">
      <c r="A226" s="26" t="s">
        <v>2056</v>
      </c>
      <c r="B226" s="26">
        <v>10</v>
      </c>
      <c r="C226" s="27" t="s">
        <v>2405</v>
      </c>
      <c r="D226" s="26">
        <v>38</v>
      </c>
      <c r="E226" s="27" t="s">
        <v>2385</v>
      </c>
      <c r="F226" s="34" t="b">
        <v>1</v>
      </c>
      <c r="G226" s="29" t="b">
        <v>1</v>
      </c>
      <c r="H226" s="30"/>
      <c r="I226" s="34"/>
      <c r="J226" s="29"/>
      <c r="K226" s="29" t="b">
        <v>1</v>
      </c>
      <c r="L226" s="29"/>
      <c r="M226" s="29" t="b">
        <v>1</v>
      </c>
      <c r="N226" s="29"/>
      <c r="O226" s="29"/>
      <c r="P226" s="29"/>
      <c r="Q226" s="29" t="b">
        <v>1</v>
      </c>
      <c r="R226" s="30"/>
      <c r="S226" s="84" t="s">
        <v>96</v>
      </c>
      <c r="T226" s="84"/>
      <c r="U226" s="31"/>
      <c r="V226" s="32"/>
      <c r="W226" s="35"/>
      <c r="X226" s="17">
        <v>0</v>
      </c>
      <c r="Y226" s="19">
        <v>0</v>
      </c>
    </row>
    <row r="227" spans="1:25" ht="28" x14ac:dyDescent="0.15">
      <c r="A227" s="26" t="s">
        <v>2056</v>
      </c>
      <c r="B227" s="26">
        <v>10</v>
      </c>
      <c r="C227" s="27" t="s">
        <v>2405</v>
      </c>
      <c r="D227" s="26">
        <v>39</v>
      </c>
      <c r="E227" s="27" t="s">
        <v>2387</v>
      </c>
      <c r="F227" s="34" t="b">
        <v>1</v>
      </c>
      <c r="G227" s="29" t="b">
        <v>1</v>
      </c>
      <c r="H227" s="30"/>
      <c r="I227" s="34"/>
      <c r="J227" s="29"/>
      <c r="K227" s="29" t="b">
        <v>1</v>
      </c>
      <c r="L227" s="29"/>
      <c r="M227" s="29" t="b">
        <v>1</v>
      </c>
      <c r="N227" s="29"/>
      <c r="O227" s="29"/>
      <c r="P227" s="29"/>
      <c r="Q227" s="29" t="b">
        <v>1</v>
      </c>
      <c r="R227" s="30"/>
      <c r="S227" s="84" t="s">
        <v>96</v>
      </c>
      <c r="T227" s="84" t="s">
        <v>91</v>
      </c>
      <c r="U227" s="31"/>
      <c r="V227" s="32"/>
      <c r="W227" s="35"/>
      <c r="X227" s="17">
        <v>0</v>
      </c>
      <c r="Y227" s="19">
        <v>0</v>
      </c>
    </row>
    <row r="228" spans="1:25" ht="28" x14ac:dyDescent="0.15">
      <c r="A228" s="26" t="s">
        <v>2056</v>
      </c>
      <c r="B228" s="26">
        <v>10</v>
      </c>
      <c r="C228" s="27" t="s">
        <v>2405</v>
      </c>
      <c r="D228" s="26">
        <v>39</v>
      </c>
      <c r="E228" s="27" t="s">
        <v>2386</v>
      </c>
      <c r="F228" s="34" t="b">
        <v>1</v>
      </c>
      <c r="G228" s="29" t="b">
        <v>1</v>
      </c>
      <c r="H228" s="30"/>
      <c r="I228" s="34"/>
      <c r="J228" s="29"/>
      <c r="K228" s="29" t="b">
        <v>1</v>
      </c>
      <c r="L228" s="29"/>
      <c r="M228" s="29" t="b">
        <v>1</v>
      </c>
      <c r="N228" s="29"/>
      <c r="O228" s="29"/>
      <c r="P228" s="29"/>
      <c r="Q228" s="29" t="b">
        <v>1</v>
      </c>
      <c r="R228" s="30"/>
      <c r="S228" s="84" t="s">
        <v>96</v>
      </c>
      <c r="T228" s="84" t="s">
        <v>91</v>
      </c>
      <c r="U228" s="31"/>
      <c r="V228" s="32"/>
      <c r="W228" s="35"/>
      <c r="X228" s="17">
        <v>0</v>
      </c>
      <c r="Y228" s="19">
        <v>0</v>
      </c>
    </row>
    <row r="229" spans="1:25" ht="28" x14ac:dyDescent="0.15">
      <c r="A229" s="26" t="s">
        <v>2056</v>
      </c>
      <c r="B229" s="26">
        <v>10</v>
      </c>
      <c r="C229" s="27" t="s">
        <v>2405</v>
      </c>
      <c r="D229" s="26">
        <v>40</v>
      </c>
      <c r="E229" s="27" t="s">
        <v>2388</v>
      </c>
      <c r="F229" s="34" t="b">
        <v>1</v>
      </c>
      <c r="G229" s="29" t="b">
        <v>1</v>
      </c>
      <c r="H229" s="30"/>
      <c r="I229" s="34"/>
      <c r="J229" s="29"/>
      <c r="K229" s="29"/>
      <c r="L229" s="29"/>
      <c r="M229" s="29" t="b">
        <v>1</v>
      </c>
      <c r="N229" s="29"/>
      <c r="O229" s="29"/>
      <c r="P229" s="29"/>
      <c r="Q229" s="29" t="b">
        <v>1</v>
      </c>
      <c r="R229" s="30"/>
      <c r="S229" s="84" t="s">
        <v>29</v>
      </c>
      <c r="T229" s="84"/>
      <c r="U229" s="31"/>
      <c r="V229" s="32"/>
      <c r="W229" s="35"/>
      <c r="X229" s="17">
        <v>0</v>
      </c>
      <c r="Y229" s="19">
        <v>0</v>
      </c>
    </row>
    <row r="230" spans="1:25" ht="28" x14ac:dyDescent="0.15">
      <c r="A230" s="26" t="s">
        <v>2056</v>
      </c>
      <c r="B230" s="26">
        <v>10</v>
      </c>
      <c r="C230" s="27" t="s">
        <v>2405</v>
      </c>
      <c r="D230" s="26">
        <v>40</v>
      </c>
      <c r="E230" s="27" t="s">
        <v>2389</v>
      </c>
      <c r="F230" s="34" t="b">
        <v>1</v>
      </c>
      <c r="G230" s="29" t="b">
        <v>1</v>
      </c>
      <c r="H230" s="30"/>
      <c r="I230" s="34"/>
      <c r="J230" s="29"/>
      <c r="K230" s="29" t="b">
        <v>1</v>
      </c>
      <c r="L230" s="29"/>
      <c r="M230" s="29" t="b">
        <v>1</v>
      </c>
      <c r="N230" s="29"/>
      <c r="O230" s="29"/>
      <c r="P230" s="29"/>
      <c r="Q230" s="29" t="b">
        <v>1</v>
      </c>
      <c r="R230" s="30"/>
      <c r="S230" s="84"/>
      <c r="T230" s="84"/>
      <c r="U230" s="36"/>
      <c r="V230" s="37"/>
      <c r="W230" s="35"/>
      <c r="X230" s="17">
        <v>0</v>
      </c>
      <c r="Y230" s="19">
        <v>0</v>
      </c>
    </row>
    <row r="231" spans="1:25" ht="28" x14ac:dyDescent="0.15">
      <c r="A231" s="26" t="s">
        <v>2056</v>
      </c>
      <c r="B231" s="26">
        <v>10</v>
      </c>
      <c r="C231" s="27" t="s">
        <v>2405</v>
      </c>
      <c r="D231" s="26">
        <v>40</v>
      </c>
      <c r="E231" s="27" t="s">
        <v>2391</v>
      </c>
      <c r="F231" s="34" t="b">
        <v>1</v>
      </c>
      <c r="G231" s="29" t="b">
        <v>1</v>
      </c>
      <c r="H231" s="30"/>
      <c r="I231" s="34"/>
      <c r="J231" s="29"/>
      <c r="K231" s="29"/>
      <c r="L231" s="29"/>
      <c r="M231" s="29" t="b">
        <v>1</v>
      </c>
      <c r="N231" s="29"/>
      <c r="O231" s="29"/>
      <c r="P231" s="29"/>
      <c r="Q231" s="29" t="b">
        <v>1</v>
      </c>
      <c r="R231" s="30"/>
      <c r="S231" s="84" t="s">
        <v>102</v>
      </c>
      <c r="T231" s="84"/>
      <c r="U231" s="36"/>
      <c r="V231" s="37"/>
      <c r="W231" s="35"/>
      <c r="X231" s="17">
        <v>0</v>
      </c>
      <c r="Y231" s="19">
        <v>0</v>
      </c>
    </row>
    <row r="232" spans="1:25" ht="28" x14ac:dyDescent="0.15">
      <c r="A232" s="26" t="s">
        <v>2056</v>
      </c>
      <c r="B232" s="26">
        <v>10</v>
      </c>
      <c r="C232" s="27" t="s">
        <v>2405</v>
      </c>
      <c r="D232" s="26">
        <v>40</v>
      </c>
      <c r="E232" s="27" t="s">
        <v>2390</v>
      </c>
      <c r="F232" s="34" t="b">
        <v>1</v>
      </c>
      <c r="G232" s="29" t="b">
        <v>1</v>
      </c>
      <c r="H232" s="30"/>
      <c r="I232" s="34"/>
      <c r="J232" s="29"/>
      <c r="K232" s="29"/>
      <c r="L232" s="29"/>
      <c r="M232" s="29"/>
      <c r="N232" s="29"/>
      <c r="O232" s="29"/>
      <c r="P232" s="29"/>
      <c r="Q232" s="29" t="b">
        <v>1</v>
      </c>
      <c r="R232" s="30"/>
      <c r="S232" s="84" t="s">
        <v>102</v>
      </c>
      <c r="T232" s="84" t="s">
        <v>91</v>
      </c>
      <c r="U232" s="31"/>
      <c r="V232" s="32"/>
      <c r="W232" s="35"/>
      <c r="X232" s="17">
        <v>0</v>
      </c>
      <c r="Y232" s="19">
        <v>0</v>
      </c>
    </row>
    <row r="233" spans="1:25" ht="28" x14ac:dyDescent="0.15">
      <c r="A233" s="26" t="s">
        <v>2056</v>
      </c>
      <c r="B233" s="26">
        <v>10</v>
      </c>
      <c r="C233" s="27" t="s">
        <v>2405</v>
      </c>
      <c r="D233" s="26">
        <v>41</v>
      </c>
      <c r="E233" s="27" t="s">
        <v>2392</v>
      </c>
      <c r="F233" s="34" t="b">
        <v>1</v>
      </c>
      <c r="G233" s="29" t="b">
        <v>1</v>
      </c>
      <c r="H233" s="30"/>
      <c r="I233" s="34"/>
      <c r="J233" s="29"/>
      <c r="K233" s="29" t="b">
        <v>1</v>
      </c>
      <c r="L233" s="29"/>
      <c r="M233" s="29" t="b">
        <v>1</v>
      </c>
      <c r="N233" s="29"/>
      <c r="O233" s="29"/>
      <c r="P233" s="29"/>
      <c r="Q233" s="29" t="b">
        <v>1</v>
      </c>
      <c r="R233" s="30"/>
      <c r="S233" s="84" t="s">
        <v>102</v>
      </c>
      <c r="T233" s="84" t="s">
        <v>91</v>
      </c>
      <c r="U233" s="31"/>
      <c r="V233" s="32"/>
      <c r="W233" s="35"/>
      <c r="X233" s="17">
        <v>0</v>
      </c>
      <c r="Y233" s="19">
        <v>0</v>
      </c>
    </row>
    <row r="234" spans="1:25" ht="28" x14ac:dyDescent="0.15">
      <c r="A234" s="26" t="s">
        <v>2056</v>
      </c>
      <c r="B234" s="26">
        <v>10</v>
      </c>
      <c r="C234" s="27" t="s">
        <v>2405</v>
      </c>
      <c r="D234" s="26">
        <v>41</v>
      </c>
      <c r="E234" s="27" t="s">
        <v>2393</v>
      </c>
      <c r="F234" s="34" t="b">
        <v>1</v>
      </c>
      <c r="G234" s="29" t="b">
        <v>1</v>
      </c>
      <c r="H234" s="30"/>
      <c r="I234" s="34"/>
      <c r="J234" s="29"/>
      <c r="K234" s="29" t="b">
        <v>1</v>
      </c>
      <c r="L234" s="29"/>
      <c r="M234" s="29" t="b">
        <v>1</v>
      </c>
      <c r="N234" s="29"/>
      <c r="O234" s="29"/>
      <c r="P234" s="29"/>
      <c r="Q234" s="29" t="b">
        <v>1</v>
      </c>
      <c r="R234" s="30"/>
      <c r="S234" s="84"/>
      <c r="T234" s="84"/>
      <c r="U234" s="31"/>
      <c r="V234" s="32"/>
      <c r="W234" s="35"/>
      <c r="X234" s="17">
        <v>0</v>
      </c>
      <c r="Y234" s="19">
        <v>0</v>
      </c>
    </row>
    <row r="235" spans="1:25" ht="28" x14ac:dyDescent="0.15">
      <c r="A235" s="26" t="s">
        <v>2056</v>
      </c>
      <c r="B235" s="26">
        <v>10</v>
      </c>
      <c r="C235" s="27" t="s">
        <v>2405</v>
      </c>
      <c r="D235" s="26">
        <v>42</v>
      </c>
      <c r="E235" s="27" t="s">
        <v>2396</v>
      </c>
      <c r="F235" s="34" t="b">
        <v>1</v>
      </c>
      <c r="G235" s="29" t="b">
        <v>1</v>
      </c>
      <c r="H235" s="30"/>
      <c r="I235" s="34"/>
      <c r="J235" s="29"/>
      <c r="K235" s="29" t="b">
        <v>1</v>
      </c>
      <c r="L235" s="29"/>
      <c r="M235" s="29" t="b">
        <v>1</v>
      </c>
      <c r="N235" s="29"/>
      <c r="O235" s="29"/>
      <c r="P235" s="29"/>
      <c r="Q235" s="29" t="b">
        <v>1</v>
      </c>
      <c r="R235" s="30"/>
      <c r="S235" s="84"/>
      <c r="T235" s="84"/>
      <c r="U235" s="36"/>
      <c r="V235" s="37"/>
      <c r="W235" s="35"/>
      <c r="X235" s="17">
        <v>0</v>
      </c>
      <c r="Y235" s="19">
        <v>0</v>
      </c>
    </row>
    <row r="236" spans="1:25" ht="28" x14ac:dyDescent="0.15">
      <c r="A236" s="26" t="s">
        <v>2056</v>
      </c>
      <c r="B236" s="26">
        <v>10</v>
      </c>
      <c r="C236" s="27" t="s">
        <v>2405</v>
      </c>
      <c r="D236" s="26">
        <v>42</v>
      </c>
      <c r="E236" s="27" t="s">
        <v>2394</v>
      </c>
      <c r="F236" s="34" t="b">
        <v>1</v>
      </c>
      <c r="G236" s="29" t="b">
        <v>1</v>
      </c>
      <c r="H236" s="30"/>
      <c r="I236" s="34"/>
      <c r="J236" s="29"/>
      <c r="K236" s="29"/>
      <c r="L236" s="29" t="b">
        <v>1</v>
      </c>
      <c r="M236" s="29"/>
      <c r="N236" s="29" t="b">
        <v>1</v>
      </c>
      <c r="O236" s="29"/>
      <c r="P236" s="29"/>
      <c r="Q236" s="29" t="b">
        <v>1</v>
      </c>
      <c r="R236" s="30"/>
      <c r="S236" s="84"/>
      <c r="T236" s="84"/>
      <c r="U236" s="36"/>
      <c r="V236" s="37"/>
      <c r="W236" s="35"/>
      <c r="X236" s="17">
        <v>0</v>
      </c>
      <c r="Y236" s="19">
        <v>0</v>
      </c>
    </row>
    <row r="237" spans="1:25" ht="28" x14ac:dyDescent="0.15">
      <c r="A237" s="26" t="s">
        <v>2056</v>
      </c>
      <c r="B237" s="26">
        <v>10</v>
      </c>
      <c r="C237" s="27" t="s">
        <v>2405</v>
      </c>
      <c r="D237" s="26">
        <v>42</v>
      </c>
      <c r="E237" s="27" t="s">
        <v>2395</v>
      </c>
      <c r="F237" s="34" t="b">
        <v>1</v>
      </c>
      <c r="G237" s="29" t="b">
        <v>1</v>
      </c>
      <c r="H237" s="30"/>
      <c r="I237" s="34"/>
      <c r="J237" s="29"/>
      <c r="K237" s="29"/>
      <c r="L237" s="29" t="b">
        <v>1</v>
      </c>
      <c r="M237" s="29" t="b">
        <v>1</v>
      </c>
      <c r="N237" s="29"/>
      <c r="O237" s="29"/>
      <c r="P237" s="29"/>
      <c r="Q237" s="29"/>
      <c r="R237" s="30"/>
      <c r="S237" s="84"/>
      <c r="T237" s="84"/>
      <c r="U237" s="36"/>
      <c r="V237" s="37"/>
      <c r="W237" s="35"/>
      <c r="X237" s="17">
        <v>0</v>
      </c>
      <c r="Y237" s="19">
        <v>0</v>
      </c>
    </row>
    <row r="238" spans="1:25" ht="28" x14ac:dyDescent="0.15">
      <c r="A238" s="26" t="s">
        <v>2056</v>
      </c>
      <c r="B238" s="26">
        <v>10</v>
      </c>
      <c r="C238" s="27" t="s">
        <v>2405</v>
      </c>
      <c r="D238" s="26">
        <v>43</v>
      </c>
      <c r="E238" s="27" t="s">
        <v>2397</v>
      </c>
      <c r="F238" s="34" t="b">
        <v>1</v>
      </c>
      <c r="G238" s="29" t="b">
        <v>1</v>
      </c>
      <c r="H238" s="30"/>
      <c r="I238" s="34"/>
      <c r="J238" s="29"/>
      <c r="K238" s="29"/>
      <c r="L238" s="29" t="b">
        <v>1</v>
      </c>
      <c r="M238" s="29"/>
      <c r="N238" s="29"/>
      <c r="O238" s="29"/>
      <c r="P238" s="29"/>
      <c r="Q238" s="29" t="b">
        <v>1</v>
      </c>
      <c r="R238" s="30"/>
      <c r="S238" s="84"/>
      <c r="T238" s="84"/>
      <c r="U238" s="31"/>
      <c r="V238" s="32"/>
      <c r="W238" s="35"/>
      <c r="X238" s="17">
        <v>0</v>
      </c>
      <c r="Y238" s="19">
        <v>0</v>
      </c>
    </row>
    <row r="239" spans="1:25" ht="28" x14ac:dyDescent="0.15">
      <c r="A239" s="26" t="s">
        <v>2056</v>
      </c>
      <c r="B239" s="26">
        <v>10</v>
      </c>
      <c r="C239" s="27" t="s">
        <v>2405</v>
      </c>
      <c r="D239" s="26">
        <v>44</v>
      </c>
      <c r="E239" s="27" t="s">
        <v>2398</v>
      </c>
      <c r="F239" s="34" t="b">
        <v>1</v>
      </c>
      <c r="G239" s="29" t="b">
        <v>1</v>
      </c>
      <c r="H239" s="30"/>
      <c r="I239" s="34" t="b">
        <v>1</v>
      </c>
      <c r="J239" s="29"/>
      <c r="K239" s="29"/>
      <c r="L239" s="29" t="b">
        <v>1</v>
      </c>
      <c r="M239" s="29"/>
      <c r="N239" s="29"/>
      <c r="O239" s="29"/>
      <c r="P239" s="29"/>
      <c r="Q239" s="29" t="b">
        <v>1</v>
      </c>
      <c r="R239" s="30"/>
      <c r="S239" s="84"/>
      <c r="T239" s="84"/>
      <c r="U239" s="31"/>
      <c r="V239" s="32"/>
      <c r="W239" s="35"/>
      <c r="X239" s="17">
        <v>0</v>
      </c>
      <c r="Y239" s="19">
        <v>0</v>
      </c>
    </row>
    <row r="240" spans="1:25" ht="28" x14ac:dyDescent="0.15">
      <c r="A240" s="26" t="s">
        <v>2056</v>
      </c>
      <c r="B240" s="26">
        <v>10</v>
      </c>
      <c r="C240" s="27" t="s">
        <v>2405</v>
      </c>
      <c r="D240" s="26">
        <v>45</v>
      </c>
      <c r="E240" s="27" t="s">
        <v>2399</v>
      </c>
      <c r="F240" s="34" t="b">
        <v>1</v>
      </c>
      <c r="G240" s="29" t="b">
        <v>1</v>
      </c>
      <c r="H240" s="30"/>
      <c r="I240" s="34"/>
      <c r="J240" s="29"/>
      <c r="K240" s="29"/>
      <c r="L240" s="29"/>
      <c r="M240" s="29"/>
      <c r="N240" s="29"/>
      <c r="O240" s="29"/>
      <c r="P240" s="29"/>
      <c r="Q240" s="29" t="b">
        <v>1</v>
      </c>
      <c r="R240" s="30"/>
      <c r="S240" s="84"/>
      <c r="T240" s="84"/>
      <c r="U240" s="31"/>
      <c r="V240" s="32"/>
      <c r="W240" s="35"/>
      <c r="X240" s="17">
        <v>0</v>
      </c>
      <c r="Y240" s="19">
        <v>0</v>
      </c>
    </row>
    <row r="241" spans="1:25" ht="28" x14ac:dyDescent="0.15">
      <c r="A241" s="26" t="s">
        <v>2056</v>
      </c>
      <c r="B241" s="26">
        <v>10</v>
      </c>
      <c r="C241" s="27" t="s">
        <v>2405</v>
      </c>
      <c r="D241" s="26">
        <v>49</v>
      </c>
      <c r="E241" s="27" t="s">
        <v>2400</v>
      </c>
      <c r="F241" s="34" t="b">
        <v>1</v>
      </c>
      <c r="G241" s="29" t="b">
        <v>1</v>
      </c>
      <c r="H241" s="30"/>
      <c r="I241" s="34"/>
      <c r="J241" s="29"/>
      <c r="K241" s="29"/>
      <c r="L241" s="29" t="b">
        <v>1</v>
      </c>
      <c r="M241" s="29"/>
      <c r="N241" s="29"/>
      <c r="O241" s="29"/>
      <c r="P241" s="29"/>
      <c r="Q241" s="29" t="b">
        <v>1</v>
      </c>
      <c r="R241" s="30"/>
      <c r="S241" s="84"/>
      <c r="T241" s="84"/>
      <c r="U241" s="31"/>
      <c r="V241" s="32"/>
      <c r="W241" s="35"/>
      <c r="X241" s="17">
        <v>0</v>
      </c>
      <c r="Y241" s="19">
        <v>0</v>
      </c>
    </row>
    <row r="242" spans="1:25" ht="28" x14ac:dyDescent="0.15">
      <c r="A242" s="26" t="s">
        <v>2056</v>
      </c>
      <c r="B242" s="26">
        <v>10</v>
      </c>
      <c r="C242" s="27" t="s">
        <v>2405</v>
      </c>
      <c r="D242" s="26">
        <v>50</v>
      </c>
      <c r="E242" s="27" t="s">
        <v>2401</v>
      </c>
      <c r="F242" s="34" t="b">
        <v>1</v>
      </c>
      <c r="G242" s="29" t="b">
        <v>1</v>
      </c>
      <c r="H242" s="30"/>
      <c r="I242" s="34"/>
      <c r="J242" s="29"/>
      <c r="K242" s="29"/>
      <c r="L242" s="29" t="b">
        <v>1</v>
      </c>
      <c r="M242" s="29"/>
      <c r="N242" s="29"/>
      <c r="O242" s="29"/>
      <c r="P242" s="29"/>
      <c r="Q242" s="29" t="b">
        <v>1</v>
      </c>
      <c r="R242" s="30"/>
      <c r="S242" s="84"/>
      <c r="T242" s="84"/>
      <c r="U242" s="31"/>
      <c r="V242" s="32"/>
      <c r="W242" s="35"/>
      <c r="X242" s="17">
        <v>0</v>
      </c>
      <c r="Y242" s="19">
        <v>0</v>
      </c>
    </row>
    <row r="243" spans="1:25" ht="21" x14ac:dyDescent="0.15">
      <c r="A243" s="26" t="s">
        <v>2056</v>
      </c>
      <c r="B243" s="26">
        <v>11</v>
      </c>
      <c r="C243" s="27" t="s">
        <v>116</v>
      </c>
      <c r="D243" s="26">
        <v>1</v>
      </c>
      <c r="E243" s="27" t="s">
        <v>2216</v>
      </c>
      <c r="F243" s="34" t="b">
        <v>1</v>
      </c>
      <c r="G243" s="29"/>
      <c r="H243" s="30"/>
      <c r="I243" s="34"/>
      <c r="J243" s="29"/>
      <c r="K243" s="29"/>
      <c r="L243" s="29"/>
      <c r="M243" s="29"/>
      <c r="N243" s="29"/>
      <c r="O243" s="29" t="b">
        <v>1</v>
      </c>
      <c r="P243" s="29"/>
      <c r="Q243" s="29"/>
      <c r="R243" s="30"/>
      <c r="S243" s="84"/>
      <c r="T243" s="84"/>
      <c r="U243" s="36"/>
      <c r="V243" s="37" t="e">
        <v>#N/A</v>
      </c>
      <c r="W243" s="35"/>
      <c r="X243" s="17">
        <v>1</v>
      </c>
      <c r="Y243" s="19">
        <v>0</v>
      </c>
    </row>
    <row r="244" spans="1:25" ht="28" x14ac:dyDescent="0.15">
      <c r="A244" s="26" t="s">
        <v>2056</v>
      </c>
      <c r="B244" s="26">
        <v>11</v>
      </c>
      <c r="C244" s="27" t="s">
        <v>116</v>
      </c>
      <c r="D244" s="26">
        <v>1</v>
      </c>
      <c r="E244" s="27" t="s">
        <v>2217</v>
      </c>
      <c r="F244" s="34" t="b">
        <v>1</v>
      </c>
      <c r="G244" s="29"/>
      <c r="H244" s="30"/>
      <c r="I244" s="34"/>
      <c r="J244" s="29"/>
      <c r="K244" s="29"/>
      <c r="L244" s="29"/>
      <c r="M244" s="29" t="b">
        <v>1</v>
      </c>
      <c r="N244" s="29"/>
      <c r="O244" s="29" t="b">
        <v>1</v>
      </c>
      <c r="P244" s="29"/>
      <c r="Q244" s="29"/>
      <c r="R244" s="30"/>
      <c r="S244" s="84"/>
      <c r="T244" s="84"/>
      <c r="U244" s="31"/>
      <c r="V244" s="32"/>
      <c r="W244" s="35"/>
      <c r="X244" s="17">
        <v>1</v>
      </c>
      <c r="Y244" s="19">
        <v>0</v>
      </c>
    </row>
    <row r="245" spans="1:25" ht="28" x14ac:dyDescent="0.15">
      <c r="A245" s="26" t="s">
        <v>2056</v>
      </c>
      <c r="B245" s="26">
        <v>11</v>
      </c>
      <c r="C245" s="27" t="s">
        <v>116</v>
      </c>
      <c r="D245" s="26">
        <v>2</v>
      </c>
      <c r="E245" s="27" t="s">
        <v>2220</v>
      </c>
      <c r="F245" s="34" t="b">
        <v>1</v>
      </c>
      <c r="G245" s="29"/>
      <c r="H245" s="30"/>
      <c r="I245" s="34"/>
      <c r="J245" s="29"/>
      <c r="K245" s="29"/>
      <c r="L245" s="29"/>
      <c r="M245" s="29"/>
      <c r="N245" s="29"/>
      <c r="O245" s="29" t="b">
        <v>1</v>
      </c>
      <c r="P245" s="29"/>
      <c r="Q245" s="29"/>
      <c r="R245" s="30"/>
      <c r="S245" s="84"/>
      <c r="T245" s="84"/>
      <c r="U245" s="36"/>
      <c r="V245" s="37"/>
      <c r="W245" s="35"/>
      <c r="X245" s="17">
        <v>1</v>
      </c>
      <c r="Y245" s="19">
        <v>0</v>
      </c>
    </row>
    <row r="246" spans="1:25" ht="21" x14ac:dyDescent="0.15">
      <c r="A246" s="26" t="s">
        <v>2056</v>
      </c>
      <c r="B246" s="26">
        <v>11</v>
      </c>
      <c r="C246" s="27" t="s">
        <v>116</v>
      </c>
      <c r="D246" s="26">
        <v>2</v>
      </c>
      <c r="E246" s="27" t="s">
        <v>2219</v>
      </c>
      <c r="F246" s="34" t="b">
        <v>1</v>
      </c>
      <c r="G246" s="29"/>
      <c r="H246" s="30"/>
      <c r="I246" s="34"/>
      <c r="J246" s="29"/>
      <c r="K246" s="29"/>
      <c r="L246" s="29"/>
      <c r="M246" s="29" t="b">
        <v>1</v>
      </c>
      <c r="N246" s="29"/>
      <c r="O246" s="29" t="b">
        <v>1</v>
      </c>
      <c r="P246" s="29"/>
      <c r="Q246" s="29"/>
      <c r="R246" s="30"/>
      <c r="S246" s="84"/>
      <c r="T246" s="84"/>
      <c r="U246" s="31"/>
      <c r="V246" s="32"/>
      <c r="W246" s="35"/>
      <c r="X246" s="17">
        <v>1</v>
      </c>
      <c r="Y246" s="19">
        <v>0</v>
      </c>
    </row>
    <row r="247" spans="1:25" ht="21" x14ac:dyDescent="0.15">
      <c r="A247" s="26" t="s">
        <v>2056</v>
      </c>
      <c r="B247" s="26">
        <v>11</v>
      </c>
      <c r="C247" s="27" t="s">
        <v>116</v>
      </c>
      <c r="D247" s="26">
        <v>2</v>
      </c>
      <c r="E247" s="27" t="s">
        <v>2218</v>
      </c>
      <c r="F247" s="34" t="b">
        <v>1</v>
      </c>
      <c r="G247" s="29"/>
      <c r="H247" s="30"/>
      <c r="I247" s="34"/>
      <c r="J247" s="29"/>
      <c r="K247" s="29"/>
      <c r="L247" s="29"/>
      <c r="M247" s="29"/>
      <c r="N247" s="29"/>
      <c r="O247" s="29" t="b">
        <v>1</v>
      </c>
      <c r="P247" s="29"/>
      <c r="Q247" s="29"/>
      <c r="R247" s="30"/>
      <c r="S247" s="84"/>
      <c r="T247" s="84"/>
      <c r="U247" s="36"/>
      <c r="V247" s="37"/>
      <c r="W247" s="35"/>
      <c r="X247" s="17">
        <v>1</v>
      </c>
      <c r="Y247" s="19">
        <v>0</v>
      </c>
    </row>
    <row r="248" spans="1:25" ht="21" x14ac:dyDescent="0.15">
      <c r="A248" s="26" t="s">
        <v>2056</v>
      </c>
      <c r="B248" s="26">
        <v>11</v>
      </c>
      <c r="C248" s="27" t="s">
        <v>116</v>
      </c>
      <c r="D248" s="26">
        <v>3</v>
      </c>
      <c r="E248" s="27" t="s">
        <v>2222</v>
      </c>
      <c r="F248" s="34" t="b">
        <v>1</v>
      </c>
      <c r="G248" s="29"/>
      <c r="H248" s="30"/>
      <c r="I248" s="34"/>
      <c r="J248" s="29"/>
      <c r="K248" s="29" t="b">
        <v>1</v>
      </c>
      <c r="L248" s="29"/>
      <c r="M248" s="29"/>
      <c r="N248" s="29"/>
      <c r="O248" s="29" t="b">
        <v>1</v>
      </c>
      <c r="P248" s="29"/>
      <c r="Q248" s="29"/>
      <c r="R248" s="30"/>
      <c r="S248" s="84"/>
      <c r="T248" s="84"/>
      <c r="U248" s="36"/>
      <c r="V248" s="37"/>
      <c r="W248" s="35"/>
      <c r="X248" s="17">
        <v>1</v>
      </c>
      <c r="Y248" s="19">
        <v>0</v>
      </c>
    </row>
    <row r="249" spans="1:25" ht="21" x14ac:dyDescent="0.15">
      <c r="A249" s="26" t="s">
        <v>2056</v>
      </c>
      <c r="B249" s="26">
        <v>11</v>
      </c>
      <c r="C249" s="27" t="s">
        <v>116</v>
      </c>
      <c r="D249" s="26">
        <v>3</v>
      </c>
      <c r="E249" s="27" t="s">
        <v>2221</v>
      </c>
      <c r="F249" s="34" t="b">
        <v>1</v>
      </c>
      <c r="G249" s="29"/>
      <c r="H249" s="30"/>
      <c r="I249" s="34"/>
      <c r="J249" s="29"/>
      <c r="K249" s="29"/>
      <c r="L249" s="29"/>
      <c r="M249" s="29"/>
      <c r="N249" s="29"/>
      <c r="O249" s="29" t="b">
        <v>1</v>
      </c>
      <c r="P249" s="29"/>
      <c r="Q249" s="29"/>
      <c r="R249" s="30"/>
      <c r="S249" s="84"/>
      <c r="T249" s="84"/>
      <c r="U249" s="31"/>
      <c r="V249" s="32"/>
      <c r="W249" s="35"/>
      <c r="X249" s="17">
        <v>1</v>
      </c>
      <c r="Y249" s="19">
        <v>0</v>
      </c>
    </row>
    <row r="250" spans="1:25" ht="21" x14ac:dyDescent="0.15">
      <c r="A250" s="26" t="s">
        <v>2056</v>
      </c>
      <c r="B250" s="26">
        <v>11</v>
      </c>
      <c r="C250" s="27" t="s">
        <v>116</v>
      </c>
      <c r="D250" s="26">
        <v>3</v>
      </c>
      <c r="E250" s="27" t="s">
        <v>2223</v>
      </c>
      <c r="F250" s="34" t="b">
        <v>1</v>
      </c>
      <c r="G250" s="29"/>
      <c r="H250" s="30"/>
      <c r="I250" s="34"/>
      <c r="J250" s="29"/>
      <c r="K250" s="29"/>
      <c r="L250" s="29"/>
      <c r="M250" s="29"/>
      <c r="N250" s="29"/>
      <c r="O250" s="29" t="b">
        <v>1</v>
      </c>
      <c r="P250" s="29"/>
      <c r="Q250" s="29"/>
      <c r="R250" s="30"/>
      <c r="S250" s="84"/>
      <c r="T250" s="84"/>
      <c r="U250" s="36"/>
      <c r="V250" s="37"/>
      <c r="W250" s="35"/>
      <c r="X250" s="17">
        <v>1</v>
      </c>
      <c r="Y250" s="19">
        <v>0</v>
      </c>
    </row>
    <row r="251" spans="1:25" ht="21" x14ac:dyDescent="0.15">
      <c r="A251" s="26" t="s">
        <v>2056</v>
      </c>
      <c r="B251" s="26">
        <v>11</v>
      </c>
      <c r="C251" s="27" t="s">
        <v>116</v>
      </c>
      <c r="D251" s="26">
        <v>4</v>
      </c>
      <c r="E251" s="27" t="s">
        <v>2224</v>
      </c>
      <c r="F251" s="34" t="b">
        <v>1</v>
      </c>
      <c r="G251" s="29"/>
      <c r="H251" s="30"/>
      <c r="I251" s="34"/>
      <c r="J251" s="29"/>
      <c r="K251" s="29" t="b">
        <v>1</v>
      </c>
      <c r="L251" s="29"/>
      <c r="M251" s="29"/>
      <c r="N251" s="29"/>
      <c r="O251" s="29" t="b">
        <v>1</v>
      </c>
      <c r="P251" s="29"/>
      <c r="Q251" s="29"/>
      <c r="R251" s="30"/>
      <c r="S251" s="84"/>
      <c r="T251" s="84"/>
      <c r="U251" s="31"/>
      <c r="V251" s="32"/>
      <c r="W251" s="35"/>
      <c r="X251" s="17">
        <v>1</v>
      </c>
      <c r="Y251" s="19">
        <v>0</v>
      </c>
    </row>
    <row r="252" spans="1:25" ht="21" x14ac:dyDescent="0.15">
      <c r="A252" s="26" t="s">
        <v>2056</v>
      </c>
      <c r="B252" s="26">
        <v>11</v>
      </c>
      <c r="C252" s="27" t="s">
        <v>116</v>
      </c>
      <c r="D252" s="26">
        <v>4</v>
      </c>
      <c r="E252" s="27" t="s">
        <v>2225</v>
      </c>
      <c r="F252" s="34" t="b">
        <v>1</v>
      </c>
      <c r="G252" s="29"/>
      <c r="H252" s="30"/>
      <c r="I252" s="34"/>
      <c r="J252" s="29"/>
      <c r="K252" s="29" t="b">
        <v>1</v>
      </c>
      <c r="L252" s="29"/>
      <c r="M252" s="29"/>
      <c r="N252" s="29"/>
      <c r="O252" s="29" t="b">
        <v>1</v>
      </c>
      <c r="P252" s="29" t="b">
        <v>1</v>
      </c>
      <c r="Q252" s="29"/>
      <c r="R252" s="30"/>
      <c r="S252" s="84"/>
      <c r="T252" s="84"/>
      <c r="U252" s="31"/>
      <c r="V252" s="32"/>
      <c r="W252" s="35"/>
      <c r="X252" s="17">
        <v>1</v>
      </c>
      <c r="Y252" s="19">
        <v>0</v>
      </c>
    </row>
    <row r="253" spans="1:25" ht="21" x14ac:dyDescent="0.15">
      <c r="A253" s="26" t="s">
        <v>2056</v>
      </c>
      <c r="B253" s="26">
        <v>11</v>
      </c>
      <c r="C253" s="27" t="s">
        <v>116</v>
      </c>
      <c r="D253" s="26">
        <v>4</v>
      </c>
      <c r="E253" s="27" t="s">
        <v>2226</v>
      </c>
      <c r="F253" s="34" t="b">
        <v>1</v>
      </c>
      <c r="G253" s="29"/>
      <c r="H253" s="30"/>
      <c r="I253" s="34"/>
      <c r="J253" s="29"/>
      <c r="K253" s="29" t="b">
        <v>1</v>
      </c>
      <c r="L253" s="29"/>
      <c r="M253" s="29"/>
      <c r="N253" s="29"/>
      <c r="O253" s="29" t="b">
        <v>1</v>
      </c>
      <c r="P253" s="29" t="b">
        <v>1</v>
      </c>
      <c r="Q253" s="29"/>
      <c r="R253" s="30"/>
      <c r="S253" s="84"/>
      <c r="T253" s="84"/>
      <c r="U253" s="36"/>
      <c r="V253" s="37"/>
      <c r="W253" s="35"/>
      <c r="X253" s="17">
        <v>1</v>
      </c>
      <c r="Y253" s="19">
        <v>0</v>
      </c>
    </row>
    <row r="254" spans="1:25" ht="42" x14ac:dyDescent="0.15">
      <c r="A254" s="26" t="s">
        <v>2056</v>
      </c>
      <c r="B254" s="26">
        <v>11</v>
      </c>
      <c r="C254" s="27" t="s">
        <v>116</v>
      </c>
      <c r="D254" s="26">
        <v>5</v>
      </c>
      <c r="E254" s="27" t="s">
        <v>2229</v>
      </c>
      <c r="F254" s="34" t="b">
        <v>1</v>
      </c>
      <c r="G254" s="29"/>
      <c r="H254" s="30"/>
      <c r="I254" s="34"/>
      <c r="J254" s="29"/>
      <c r="K254" s="29"/>
      <c r="L254" s="29"/>
      <c r="M254" s="29"/>
      <c r="N254" s="29"/>
      <c r="O254" s="29" t="b">
        <v>1</v>
      </c>
      <c r="P254" s="29" t="b">
        <v>1</v>
      </c>
      <c r="Q254" s="29"/>
      <c r="R254" s="30"/>
      <c r="S254" s="84" t="s">
        <v>96</v>
      </c>
      <c r="T254" s="84" t="s">
        <v>101</v>
      </c>
      <c r="U254" s="31" t="s">
        <v>100</v>
      </c>
      <c r="V254" s="32" t="s">
        <v>103</v>
      </c>
      <c r="W254" s="35"/>
      <c r="X254" s="17">
        <v>1</v>
      </c>
      <c r="Y254" s="19">
        <v>0</v>
      </c>
    </row>
    <row r="255" spans="1:25" ht="28" x14ac:dyDescent="0.15">
      <c r="A255" s="26" t="s">
        <v>2056</v>
      </c>
      <c r="B255" s="26">
        <v>11</v>
      </c>
      <c r="C255" s="27" t="s">
        <v>116</v>
      </c>
      <c r="D255" s="26">
        <v>5</v>
      </c>
      <c r="E255" s="27" t="s">
        <v>2228</v>
      </c>
      <c r="F255" s="34" t="b">
        <v>1</v>
      </c>
      <c r="G255" s="29"/>
      <c r="H255" s="30"/>
      <c r="I255" s="34"/>
      <c r="J255" s="29"/>
      <c r="K255" s="29"/>
      <c r="L255" s="29"/>
      <c r="M255" s="29"/>
      <c r="N255" s="29"/>
      <c r="O255" s="29" t="b">
        <v>1</v>
      </c>
      <c r="P255" s="29" t="b">
        <v>1</v>
      </c>
      <c r="Q255" s="29"/>
      <c r="R255" s="30"/>
      <c r="S255" s="84"/>
      <c r="T255" s="84"/>
      <c r="U255" s="31" t="s">
        <v>100</v>
      </c>
      <c r="V255" s="32" t="s">
        <v>103</v>
      </c>
      <c r="W255" s="35"/>
      <c r="X255" s="17">
        <v>1</v>
      </c>
      <c r="Y255" s="19">
        <v>0</v>
      </c>
    </row>
    <row r="256" spans="1:25" ht="42" x14ac:dyDescent="0.15">
      <c r="A256" s="26" t="s">
        <v>2056</v>
      </c>
      <c r="B256" s="26">
        <v>11</v>
      </c>
      <c r="C256" s="27" t="s">
        <v>116</v>
      </c>
      <c r="D256" s="26">
        <v>5</v>
      </c>
      <c r="E256" s="27" t="s">
        <v>2227</v>
      </c>
      <c r="F256" s="34" t="b">
        <v>1</v>
      </c>
      <c r="G256" s="29"/>
      <c r="H256" s="30"/>
      <c r="I256" s="34"/>
      <c r="J256" s="29"/>
      <c r="K256" s="29"/>
      <c r="L256" s="29"/>
      <c r="M256" s="29"/>
      <c r="N256" s="29"/>
      <c r="O256" s="29" t="b">
        <v>1</v>
      </c>
      <c r="P256" s="29" t="b">
        <v>1</v>
      </c>
      <c r="Q256" s="29"/>
      <c r="R256" s="30"/>
      <c r="S256" s="84" t="s">
        <v>96</v>
      </c>
      <c r="T256" s="84" t="s">
        <v>101</v>
      </c>
      <c r="U256" s="31"/>
      <c r="V256" s="32"/>
      <c r="W256" s="35"/>
      <c r="X256" s="17">
        <v>1</v>
      </c>
      <c r="Y256" s="19">
        <v>0</v>
      </c>
    </row>
    <row r="257" spans="1:25" ht="42" x14ac:dyDescent="0.15">
      <c r="A257" s="26" t="s">
        <v>2056</v>
      </c>
      <c r="B257" s="26">
        <v>11</v>
      </c>
      <c r="C257" s="27" t="s">
        <v>116</v>
      </c>
      <c r="D257" s="26">
        <v>6</v>
      </c>
      <c r="E257" s="27" t="s">
        <v>2230</v>
      </c>
      <c r="F257" s="34" t="b">
        <v>1</v>
      </c>
      <c r="G257" s="29"/>
      <c r="H257" s="30"/>
      <c r="I257" s="34"/>
      <c r="J257" s="29"/>
      <c r="K257" s="29" t="b">
        <v>1</v>
      </c>
      <c r="L257" s="29"/>
      <c r="M257" s="29"/>
      <c r="N257" s="29"/>
      <c r="O257" s="29" t="b">
        <v>1</v>
      </c>
      <c r="P257" s="29"/>
      <c r="Q257" s="29"/>
      <c r="R257" s="30"/>
      <c r="S257" s="84" t="s">
        <v>96</v>
      </c>
      <c r="T257" s="84" t="s">
        <v>101</v>
      </c>
      <c r="U257" s="31" t="s">
        <v>100</v>
      </c>
      <c r="V257" s="32" t="s">
        <v>103</v>
      </c>
      <c r="W257" s="35"/>
      <c r="X257" s="17">
        <v>1</v>
      </c>
      <c r="Y257" s="19">
        <v>0</v>
      </c>
    </row>
    <row r="258" spans="1:25" ht="28" x14ac:dyDescent="0.15">
      <c r="A258" s="26" t="s">
        <v>2056</v>
      </c>
      <c r="B258" s="26">
        <v>11</v>
      </c>
      <c r="C258" s="27" t="s">
        <v>116</v>
      </c>
      <c r="D258" s="26">
        <v>7</v>
      </c>
      <c r="E258" s="27" t="s">
        <v>2233</v>
      </c>
      <c r="F258" s="34" t="b">
        <v>1</v>
      </c>
      <c r="G258" s="29"/>
      <c r="H258" s="30"/>
      <c r="I258" s="34" t="b">
        <v>1</v>
      </c>
      <c r="J258" s="29"/>
      <c r="K258" s="29"/>
      <c r="L258" s="29"/>
      <c r="M258" s="29"/>
      <c r="N258" s="29"/>
      <c r="O258" s="29" t="b">
        <v>1</v>
      </c>
      <c r="P258" s="29"/>
      <c r="Q258" s="29"/>
      <c r="R258" s="30"/>
      <c r="S258" s="84" t="s">
        <v>96</v>
      </c>
      <c r="T258" s="84"/>
      <c r="U258" s="31" t="s">
        <v>100</v>
      </c>
      <c r="V258" s="32" t="s">
        <v>103</v>
      </c>
      <c r="W258" s="35"/>
      <c r="X258" s="17">
        <v>1</v>
      </c>
      <c r="Y258" s="19">
        <v>0</v>
      </c>
    </row>
    <row r="259" spans="1:25" ht="42" x14ac:dyDescent="0.15">
      <c r="A259" s="26" t="s">
        <v>2056</v>
      </c>
      <c r="B259" s="26">
        <v>11</v>
      </c>
      <c r="C259" s="27" t="s">
        <v>116</v>
      </c>
      <c r="D259" s="26">
        <v>7</v>
      </c>
      <c r="E259" s="27" t="s">
        <v>2231</v>
      </c>
      <c r="F259" s="34" t="b">
        <v>1</v>
      </c>
      <c r="G259" s="29"/>
      <c r="H259" s="30"/>
      <c r="I259" s="34" t="b">
        <v>1</v>
      </c>
      <c r="J259" s="29"/>
      <c r="K259" s="29"/>
      <c r="L259" s="29"/>
      <c r="M259" s="29"/>
      <c r="N259" s="29"/>
      <c r="O259" s="29" t="b">
        <v>1</v>
      </c>
      <c r="P259" s="29"/>
      <c r="Q259" s="29" t="b">
        <v>1</v>
      </c>
      <c r="R259" s="30"/>
      <c r="S259" s="84" t="s">
        <v>96</v>
      </c>
      <c r="T259" s="84" t="s">
        <v>101</v>
      </c>
      <c r="U259" s="31" t="s">
        <v>100</v>
      </c>
      <c r="V259" s="32" t="s">
        <v>103</v>
      </c>
      <c r="W259" s="35"/>
      <c r="X259" s="17">
        <v>1</v>
      </c>
      <c r="Y259" s="19">
        <v>0</v>
      </c>
    </row>
    <row r="260" spans="1:25" ht="42" x14ac:dyDescent="0.15">
      <c r="A260" s="26" t="s">
        <v>2056</v>
      </c>
      <c r="B260" s="26">
        <v>11</v>
      </c>
      <c r="C260" s="27" t="s">
        <v>116</v>
      </c>
      <c r="D260" s="26">
        <v>8</v>
      </c>
      <c r="E260" s="27" t="s">
        <v>2234</v>
      </c>
      <c r="F260" s="34" t="b">
        <v>1</v>
      </c>
      <c r="G260" s="29"/>
      <c r="H260" s="30"/>
      <c r="I260" s="34"/>
      <c r="J260" s="29"/>
      <c r="K260" s="29"/>
      <c r="L260" s="29"/>
      <c r="M260" s="29"/>
      <c r="N260" s="29"/>
      <c r="O260" s="29" t="b">
        <v>1</v>
      </c>
      <c r="P260" s="29"/>
      <c r="Q260" s="29"/>
      <c r="R260" s="30"/>
      <c r="S260" s="84" t="s">
        <v>96</v>
      </c>
      <c r="T260" s="84" t="s">
        <v>101</v>
      </c>
      <c r="U260" s="31" t="s">
        <v>100</v>
      </c>
      <c r="V260" s="32" t="s">
        <v>103</v>
      </c>
      <c r="W260" s="35"/>
      <c r="X260" s="17">
        <v>1</v>
      </c>
      <c r="Y260" s="19">
        <v>0</v>
      </c>
    </row>
    <row r="261" spans="1:25" ht="28" x14ac:dyDescent="0.15">
      <c r="A261" s="26" t="s">
        <v>2056</v>
      </c>
      <c r="B261" s="26">
        <v>12</v>
      </c>
      <c r="C261" s="27" t="s">
        <v>2404</v>
      </c>
      <c r="D261" s="26">
        <v>1</v>
      </c>
      <c r="E261" s="27" t="s">
        <v>2451</v>
      </c>
      <c r="F261" s="34" t="b">
        <v>1</v>
      </c>
      <c r="G261" s="29"/>
      <c r="H261" s="30"/>
      <c r="I261" s="34"/>
      <c r="J261" s="29"/>
      <c r="K261" s="29"/>
      <c r="L261" s="29"/>
      <c r="M261" s="29"/>
      <c r="N261" s="29"/>
      <c r="O261" s="29"/>
      <c r="P261" s="29" t="b">
        <v>1</v>
      </c>
      <c r="Q261" s="29"/>
      <c r="R261" s="30"/>
      <c r="S261" s="84"/>
      <c r="T261" s="84"/>
      <c r="U261" s="31" t="s">
        <v>100</v>
      </c>
      <c r="V261" s="32" t="s">
        <v>103</v>
      </c>
      <c r="W261" s="35"/>
      <c r="X261" s="17">
        <v>0</v>
      </c>
      <c r="Y261" s="19">
        <v>0</v>
      </c>
    </row>
    <row r="262" spans="1:25" ht="42" x14ac:dyDescent="0.15">
      <c r="A262" s="26" t="s">
        <v>2056</v>
      </c>
      <c r="B262" s="26">
        <v>12</v>
      </c>
      <c r="C262" s="27" t="s">
        <v>2404</v>
      </c>
      <c r="D262" s="26">
        <v>1</v>
      </c>
      <c r="E262" s="27" t="s">
        <v>2452</v>
      </c>
      <c r="F262" s="34" t="b">
        <v>1</v>
      </c>
      <c r="G262" s="29"/>
      <c r="H262" s="30"/>
      <c r="I262" s="34"/>
      <c r="J262" s="29"/>
      <c r="K262" s="29"/>
      <c r="L262" s="29"/>
      <c r="M262" s="29"/>
      <c r="N262" s="29"/>
      <c r="O262" s="29"/>
      <c r="P262" s="29" t="b">
        <v>1</v>
      </c>
      <c r="Q262" s="29"/>
      <c r="R262" s="30"/>
      <c r="S262" s="84" t="s">
        <v>96</v>
      </c>
      <c r="T262" s="84" t="s">
        <v>101</v>
      </c>
      <c r="U262" s="31"/>
      <c r="V262" s="32"/>
      <c r="W262" s="35"/>
      <c r="X262" s="17">
        <v>0</v>
      </c>
      <c r="Y262" s="19">
        <v>0</v>
      </c>
    </row>
    <row r="263" spans="1:25" ht="42" x14ac:dyDescent="0.15">
      <c r="A263" s="26" t="s">
        <v>2056</v>
      </c>
      <c r="B263" s="26">
        <v>12</v>
      </c>
      <c r="C263" s="27" t="s">
        <v>2404</v>
      </c>
      <c r="D263" s="26">
        <v>1</v>
      </c>
      <c r="E263" s="27" t="s">
        <v>2453</v>
      </c>
      <c r="F263" s="34" t="b">
        <v>1</v>
      </c>
      <c r="G263" s="29"/>
      <c r="H263" s="30"/>
      <c r="I263" s="34"/>
      <c r="J263" s="29"/>
      <c r="K263" s="29"/>
      <c r="L263" s="29"/>
      <c r="M263" s="29"/>
      <c r="N263" s="29"/>
      <c r="O263" s="29"/>
      <c r="P263" s="29" t="b">
        <v>1</v>
      </c>
      <c r="Q263" s="29"/>
      <c r="R263" s="30"/>
      <c r="S263" s="84" t="s">
        <v>96</v>
      </c>
      <c r="T263" s="84" t="s">
        <v>101</v>
      </c>
      <c r="U263" s="31"/>
      <c r="V263" s="32" t="s">
        <v>103</v>
      </c>
      <c r="W263" s="35"/>
      <c r="X263" s="17">
        <v>0</v>
      </c>
      <c r="Y263" s="19">
        <v>0</v>
      </c>
    </row>
    <row r="264" spans="1:25" ht="42" x14ac:dyDescent="0.15">
      <c r="A264" s="26" t="s">
        <v>2056</v>
      </c>
      <c r="B264" s="26">
        <v>12</v>
      </c>
      <c r="C264" s="27" t="s">
        <v>2404</v>
      </c>
      <c r="D264" s="26">
        <v>2</v>
      </c>
      <c r="E264" s="27" t="s">
        <v>2454</v>
      </c>
      <c r="F264" s="34" t="b">
        <v>1</v>
      </c>
      <c r="G264" s="29"/>
      <c r="H264" s="30"/>
      <c r="I264" s="34"/>
      <c r="J264" s="29"/>
      <c r="K264" s="29"/>
      <c r="L264" s="29"/>
      <c r="M264" s="29"/>
      <c r="N264" s="29"/>
      <c r="O264" s="29"/>
      <c r="P264" s="29" t="b">
        <v>1</v>
      </c>
      <c r="Q264" s="29"/>
      <c r="R264" s="30"/>
      <c r="S264" s="84" t="s">
        <v>96</v>
      </c>
      <c r="T264" s="84" t="s">
        <v>101</v>
      </c>
      <c r="U264" s="31"/>
      <c r="V264" s="32" t="s">
        <v>103</v>
      </c>
      <c r="W264" s="35"/>
      <c r="X264" s="17">
        <v>0</v>
      </c>
      <c r="Y264" s="19">
        <v>0</v>
      </c>
    </row>
    <row r="265" spans="1:25" ht="42" x14ac:dyDescent="0.15">
      <c r="A265" s="26" t="s">
        <v>2056</v>
      </c>
      <c r="B265" s="26">
        <v>12</v>
      </c>
      <c r="C265" s="27" t="s">
        <v>2404</v>
      </c>
      <c r="D265" s="26">
        <v>2</v>
      </c>
      <c r="E265" s="27" t="s">
        <v>2455</v>
      </c>
      <c r="F265" s="34" t="b">
        <v>1</v>
      </c>
      <c r="G265" s="29"/>
      <c r="H265" s="30"/>
      <c r="I265" s="34"/>
      <c r="J265" s="29"/>
      <c r="K265" s="29"/>
      <c r="L265" s="29"/>
      <c r="M265" s="29"/>
      <c r="N265" s="29"/>
      <c r="O265" s="29"/>
      <c r="P265" s="29" t="b">
        <v>1</v>
      </c>
      <c r="Q265" s="29"/>
      <c r="R265" s="30"/>
      <c r="S265" s="84" t="s">
        <v>96</v>
      </c>
      <c r="T265" s="84" t="s">
        <v>101</v>
      </c>
      <c r="U265" s="31"/>
      <c r="V265" s="32" t="s">
        <v>103</v>
      </c>
      <c r="W265" s="35"/>
      <c r="X265" s="17">
        <v>0</v>
      </c>
      <c r="Y265" s="19">
        <v>0</v>
      </c>
    </row>
    <row r="266" spans="1:25" ht="42" x14ac:dyDescent="0.15">
      <c r="A266" s="26" t="s">
        <v>2056</v>
      </c>
      <c r="B266" s="26">
        <v>12</v>
      </c>
      <c r="C266" s="27" t="s">
        <v>2404</v>
      </c>
      <c r="D266" s="26">
        <v>3</v>
      </c>
      <c r="E266" s="27" t="s">
        <v>2456</v>
      </c>
      <c r="F266" s="34" t="b">
        <v>1</v>
      </c>
      <c r="G266" s="29"/>
      <c r="H266" s="30"/>
      <c r="I266" s="34"/>
      <c r="J266" s="29"/>
      <c r="K266" s="29"/>
      <c r="L266" s="29"/>
      <c r="M266" s="29"/>
      <c r="N266" s="29"/>
      <c r="O266" s="29"/>
      <c r="P266" s="29" t="b">
        <v>1</v>
      </c>
      <c r="Q266" s="29"/>
      <c r="R266" s="30"/>
      <c r="S266" s="84" t="s">
        <v>96</v>
      </c>
      <c r="T266" s="84" t="s">
        <v>101</v>
      </c>
      <c r="U266" s="31" t="s">
        <v>100</v>
      </c>
      <c r="V266" s="32" t="s">
        <v>103</v>
      </c>
      <c r="W266" s="35"/>
      <c r="X266" s="17">
        <v>0</v>
      </c>
      <c r="Y266" s="19">
        <v>0</v>
      </c>
    </row>
    <row r="267" spans="1:25" ht="42" x14ac:dyDescent="0.15">
      <c r="A267" s="26" t="s">
        <v>2056</v>
      </c>
      <c r="B267" s="26">
        <v>12</v>
      </c>
      <c r="C267" s="27" t="s">
        <v>2404</v>
      </c>
      <c r="D267" s="26">
        <v>3</v>
      </c>
      <c r="E267" s="27" t="s">
        <v>2457</v>
      </c>
      <c r="F267" s="34" t="b">
        <v>1</v>
      </c>
      <c r="G267" s="29"/>
      <c r="H267" s="30"/>
      <c r="I267" s="34"/>
      <c r="J267" s="29"/>
      <c r="K267" s="29"/>
      <c r="L267" s="29"/>
      <c r="M267" s="29"/>
      <c r="N267" s="29"/>
      <c r="O267" s="29"/>
      <c r="P267" s="29" t="b">
        <v>1</v>
      </c>
      <c r="Q267" s="29"/>
      <c r="R267" s="30"/>
      <c r="S267" s="84" t="s">
        <v>96</v>
      </c>
      <c r="T267" s="84" t="s">
        <v>101</v>
      </c>
      <c r="U267" s="31"/>
      <c r="V267" s="32" t="s">
        <v>103</v>
      </c>
      <c r="W267" s="35"/>
      <c r="X267" s="17">
        <v>0</v>
      </c>
      <c r="Y267" s="19">
        <v>0</v>
      </c>
    </row>
    <row r="268" spans="1:25" ht="42" x14ac:dyDescent="0.15">
      <c r="A268" s="26" t="s">
        <v>2056</v>
      </c>
      <c r="B268" s="26">
        <v>12</v>
      </c>
      <c r="C268" s="27" t="s">
        <v>2404</v>
      </c>
      <c r="D268" s="26">
        <v>4</v>
      </c>
      <c r="E268" s="27" t="s">
        <v>2458</v>
      </c>
      <c r="F268" s="34" t="b">
        <v>1</v>
      </c>
      <c r="G268" s="29"/>
      <c r="H268" s="30"/>
      <c r="I268" s="34"/>
      <c r="J268" s="29"/>
      <c r="K268" s="29"/>
      <c r="L268" s="29"/>
      <c r="M268" s="29"/>
      <c r="N268" s="29"/>
      <c r="O268" s="29"/>
      <c r="P268" s="29" t="b">
        <v>1</v>
      </c>
      <c r="Q268" s="29"/>
      <c r="R268" s="30"/>
      <c r="S268" s="84" t="s">
        <v>96</v>
      </c>
      <c r="T268" s="84" t="s">
        <v>101</v>
      </c>
      <c r="U268" s="31" t="s">
        <v>100</v>
      </c>
      <c r="V268" s="32" t="s">
        <v>103</v>
      </c>
      <c r="W268" s="35"/>
      <c r="X268" s="17">
        <v>0</v>
      </c>
      <c r="Y268" s="19">
        <v>0</v>
      </c>
    </row>
    <row r="269" spans="1:25" ht="42" x14ac:dyDescent="0.15">
      <c r="A269" s="26" t="s">
        <v>2056</v>
      </c>
      <c r="B269" s="26">
        <v>12</v>
      </c>
      <c r="C269" s="27" t="s">
        <v>2404</v>
      </c>
      <c r="D269" s="26">
        <v>4</v>
      </c>
      <c r="E269" s="27" t="s">
        <v>2459</v>
      </c>
      <c r="F269" s="34" t="b">
        <v>1</v>
      </c>
      <c r="G269" s="29"/>
      <c r="H269" s="30"/>
      <c r="I269" s="34"/>
      <c r="J269" s="29"/>
      <c r="K269" s="29"/>
      <c r="L269" s="29"/>
      <c r="M269" s="29"/>
      <c r="N269" s="29"/>
      <c r="O269" s="29"/>
      <c r="P269" s="29" t="b">
        <v>1</v>
      </c>
      <c r="Q269" s="29"/>
      <c r="R269" s="30"/>
      <c r="S269" s="84" t="s">
        <v>96</v>
      </c>
      <c r="T269" s="84" t="s">
        <v>101</v>
      </c>
      <c r="U269" s="31" t="s">
        <v>100</v>
      </c>
      <c r="V269" s="32" t="s">
        <v>103</v>
      </c>
      <c r="W269" s="35"/>
      <c r="X269" s="17">
        <v>0</v>
      </c>
      <c r="Y269" s="19">
        <v>0</v>
      </c>
    </row>
    <row r="270" spans="1:25" ht="28" x14ac:dyDescent="0.15">
      <c r="A270" s="26" t="s">
        <v>2056</v>
      </c>
      <c r="B270" s="26">
        <v>12</v>
      </c>
      <c r="C270" s="27" t="s">
        <v>2404</v>
      </c>
      <c r="D270" s="26">
        <v>4</v>
      </c>
      <c r="E270" s="27" t="s">
        <v>2460</v>
      </c>
      <c r="F270" s="34" t="b">
        <v>1</v>
      </c>
      <c r="G270" s="29"/>
      <c r="H270" s="30"/>
      <c r="I270" s="34"/>
      <c r="J270" s="29"/>
      <c r="K270" s="29"/>
      <c r="L270" s="29"/>
      <c r="M270" s="29"/>
      <c r="N270" s="29"/>
      <c r="O270" s="29"/>
      <c r="P270" s="29" t="b">
        <v>1</v>
      </c>
      <c r="Q270" s="29"/>
      <c r="R270" s="30"/>
      <c r="S270" s="84" t="s">
        <v>96</v>
      </c>
      <c r="T270" s="84"/>
      <c r="U270" s="31" t="s">
        <v>100</v>
      </c>
      <c r="V270" s="32" t="s">
        <v>103</v>
      </c>
      <c r="W270" s="35"/>
      <c r="X270" s="17">
        <v>0</v>
      </c>
      <c r="Y270" s="19">
        <v>0</v>
      </c>
    </row>
    <row r="271" spans="1:25" ht="28" x14ac:dyDescent="0.15">
      <c r="A271" s="26" t="s">
        <v>2056</v>
      </c>
      <c r="B271" s="26">
        <v>12</v>
      </c>
      <c r="C271" s="27" t="s">
        <v>2404</v>
      </c>
      <c r="D271" s="26">
        <v>5</v>
      </c>
      <c r="E271" s="27" t="s">
        <v>2461</v>
      </c>
      <c r="F271" s="34" t="b">
        <v>1</v>
      </c>
      <c r="G271" s="29"/>
      <c r="H271" s="30"/>
      <c r="I271" s="34"/>
      <c r="J271" s="29"/>
      <c r="K271" s="29"/>
      <c r="L271" s="29"/>
      <c r="M271" s="29"/>
      <c r="N271" s="29"/>
      <c r="O271" s="29"/>
      <c r="P271" s="29" t="b">
        <v>1</v>
      </c>
      <c r="Q271" s="29"/>
      <c r="R271" s="30"/>
      <c r="S271" s="84" t="s">
        <v>96</v>
      </c>
      <c r="T271" s="84"/>
      <c r="U271" s="31"/>
      <c r="V271" s="32"/>
      <c r="W271" s="35"/>
      <c r="X271" s="17">
        <v>0</v>
      </c>
      <c r="Y271" s="19">
        <v>0</v>
      </c>
    </row>
    <row r="272" spans="1:25" ht="28" x14ac:dyDescent="0.15">
      <c r="A272" s="26" t="s">
        <v>2056</v>
      </c>
      <c r="B272" s="26">
        <v>12</v>
      </c>
      <c r="C272" s="27" t="s">
        <v>2404</v>
      </c>
      <c r="D272" s="26">
        <v>5</v>
      </c>
      <c r="E272" s="27" t="s">
        <v>2462</v>
      </c>
      <c r="F272" s="34" t="b">
        <v>1</v>
      </c>
      <c r="G272" s="29"/>
      <c r="H272" s="30"/>
      <c r="I272" s="34"/>
      <c r="J272" s="29"/>
      <c r="K272" s="29"/>
      <c r="L272" s="29"/>
      <c r="M272" s="29"/>
      <c r="N272" s="29"/>
      <c r="O272" s="29"/>
      <c r="P272" s="29" t="b">
        <v>1</v>
      </c>
      <c r="Q272" s="29"/>
      <c r="R272" s="30"/>
      <c r="S272" s="84" t="s">
        <v>73</v>
      </c>
      <c r="T272" s="84" t="s">
        <v>81</v>
      </c>
      <c r="U272" s="31" t="s">
        <v>8</v>
      </c>
      <c r="V272" s="32" t="s">
        <v>98</v>
      </c>
      <c r="W272" s="35"/>
      <c r="X272" s="17">
        <v>0</v>
      </c>
      <c r="Y272" s="19">
        <v>0</v>
      </c>
    </row>
    <row r="273" spans="1:25" ht="28" x14ac:dyDescent="0.15">
      <c r="A273" s="26" t="s">
        <v>2056</v>
      </c>
      <c r="B273" s="26">
        <v>12</v>
      </c>
      <c r="C273" s="27" t="s">
        <v>2404</v>
      </c>
      <c r="D273" s="26">
        <v>5</v>
      </c>
      <c r="E273" s="27" t="s">
        <v>2463</v>
      </c>
      <c r="F273" s="34" t="b">
        <v>1</v>
      </c>
      <c r="G273" s="29"/>
      <c r="H273" s="30"/>
      <c r="I273" s="34"/>
      <c r="J273" s="29"/>
      <c r="K273" s="29"/>
      <c r="L273" s="29"/>
      <c r="M273" s="29"/>
      <c r="N273" s="29"/>
      <c r="O273" s="29"/>
      <c r="P273" s="29" t="b">
        <v>1</v>
      </c>
      <c r="Q273" s="29"/>
      <c r="R273" s="30"/>
      <c r="S273" s="84" t="s">
        <v>73</v>
      </c>
      <c r="T273" s="84" t="s">
        <v>81</v>
      </c>
      <c r="U273" s="31"/>
      <c r="V273" s="32" t="s">
        <v>98</v>
      </c>
      <c r="W273" s="35"/>
      <c r="X273" s="17">
        <v>0</v>
      </c>
      <c r="Y273" s="19">
        <v>0</v>
      </c>
    </row>
    <row r="274" spans="1:25" ht="28" x14ac:dyDescent="0.15">
      <c r="A274" s="26" t="s">
        <v>2056</v>
      </c>
      <c r="B274" s="26">
        <v>12</v>
      </c>
      <c r="C274" s="27" t="s">
        <v>2404</v>
      </c>
      <c r="D274" s="26">
        <v>5</v>
      </c>
      <c r="E274" s="27" t="s">
        <v>2464</v>
      </c>
      <c r="F274" s="34" t="b">
        <v>1</v>
      </c>
      <c r="G274" s="29"/>
      <c r="H274" s="30"/>
      <c r="I274" s="34"/>
      <c r="J274" s="29"/>
      <c r="K274" s="29"/>
      <c r="L274" s="29"/>
      <c r="M274" s="29"/>
      <c r="N274" s="29"/>
      <c r="O274" s="29"/>
      <c r="P274" s="29" t="b">
        <v>1</v>
      </c>
      <c r="Q274" s="29"/>
      <c r="R274" s="30"/>
      <c r="S274" s="84" t="s">
        <v>73</v>
      </c>
      <c r="T274" s="84" t="s">
        <v>81</v>
      </c>
      <c r="U274" s="31" t="s">
        <v>8</v>
      </c>
      <c r="V274" s="32" t="s">
        <v>98</v>
      </c>
      <c r="W274" s="35"/>
      <c r="X274" s="17">
        <v>0</v>
      </c>
      <c r="Y274" s="19">
        <v>0</v>
      </c>
    </row>
    <row r="275" spans="1:25" ht="28" x14ac:dyDescent="0.15">
      <c r="A275" s="26" t="s">
        <v>2056</v>
      </c>
      <c r="B275" s="26">
        <v>12</v>
      </c>
      <c r="C275" s="27" t="s">
        <v>2404</v>
      </c>
      <c r="D275" s="26">
        <v>5</v>
      </c>
      <c r="E275" s="27" t="s">
        <v>2465</v>
      </c>
      <c r="F275" s="34" t="b">
        <v>1</v>
      </c>
      <c r="G275" s="29"/>
      <c r="H275" s="30"/>
      <c r="I275" s="34"/>
      <c r="J275" s="29"/>
      <c r="K275" s="29"/>
      <c r="L275" s="29"/>
      <c r="M275" s="29"/>
      <c r="N275" s="29"/>
      <c r="O275" s="29"/>
      <c r="P275" s="29" t="b">
        <v>1</v>
      </c>
      <c r="Q275" s="29"/>
      <c r="R275" s="30"/>
      <c r="S275" s="84" t="s">
        <v>73</v>
      </c>
      <c r="T275" s="84" t="s">
        <v>81</v>
      </c>
      <c r="U275" s="31" t="s">
        <v>8</v>
      </c>
      <c r="V275" s="32" t="s">
        <v>98</v>
      </c>
      <c r="W275" s="35"/>
      <c r="X275" s="17">
        <v>0</v>
      </c>
      <c r="Y275" s="19">
        <v>0</v>
      </c>
    </row>
    <row r="276" spans="1:25" ht="42" x14ac:dyDescent="0.15">
      <c r="A276" s="26" t="s">
        <v>2056</v>
      </c>
      <c r="B276" s="26">
        <v>12</v>
      </c>
      <c r="C276" s="27" t="s">
        <v>2404</v>
      </c>
      <c r="D276" s="26">
        <v>6</v>
      </c>
      <c r="E276" s="27" t="s">
        <v>2466</v>
      </c>
      <c r="F276" s="34" t="b">
        <v>1</v>
      </c>
      <c r="G276" s="29"/>
      <c r="H276" s="30"/>
      <c r="I276" s="34"/>
      <c r="J276" s="29"/>
      <c r="K276" s="29"/>
      <c r="L276" s="29"/>
      <c r="M276" s="29"/>
      <c r="N276" s="29"/>
      <c r="O276" s="29"/>
      <c r="P276" s="29" t="b">
        <v>1</v>
      </c>
      <c r="Q276" s="29"/>
      <c r="R276" s="30"/>
      <c r="S276" s="84" t="s">
        <v>73</v>
      </c>
      <c r="T276" s="84" t="s">
        <v>81</v>
      </c>
      <c r="U276" s="31"/>
      <c r="V276" s="32"/>
      <c r="W276" s="35"/>
      <c r="X276" s="17">
        <v>0</v>
      </c>
      <c r="Y276" s="19">
        <v>0</v>
      </c>
    </row>
    <row r="277" spans="1:25" ht="42" x14ac:dyDescent="0.15">
      <c r="A277" s="26" t="s">
        <v>2056</v>
      </c>
      <c r="B277" s="26">
        <v>12</v>
      </c>
      <c r="C277" s="27" t="s">
        <v>2404</v>
      </c>
      <c r="D277" s="26">
        <v>6</v>
      </c>
      <c r="E277" s="27" t="s">
        <v>2467</v>
      </c>
      <c r="F277" s="34" t="b">
        <v>1</v>
      </c>
      <c r="G277" s="29"/>
      <c r="H277" s="30"/>
      <c r="I277" s="34"/>
      <c r="J277" s="29"/>
      <c r="K277" s="29"/>
      <c r="L277" s="29"/>
      <c r="M277" s="29"/>
      <c r="N277" s="29"/>
      <c r="O277" s="29"/>
      <c r="P277" s="29" t="b">
        <v>1</v>
      </c>
      <c r="Q277" s="29"/>
      <c r="R277" s="30"/>
      <c r="S277" s="84"/>
      <c r="T277" s="84"/>
      <c r="U277" s="31" t="s">
        <v>8</v>
      </c>
      <c r="V277" s="32" t="s">
        <v>98</v>
      </c>
      <c r="W277" s="35"/>
      <c r="X277" s="17">
        <v>0</v>
      </c>
      <c r="Y277" s="19">
        <v>0</v>
      </c>
    </row>
    <row r="278" spans="1:25" ht="28" x14ac:dyDescent="0.15">
      <c r="A278" s="26" t="s">
        <v>2056</v>
      </c>
      <c r="B278" s="26">
        <v>12</v>
      </c>
      <c r="C278" s="27" t="s">
        <v>2404</v>
      </c>
      <c r="D278" s="26">
        <v>6</v>
      </c>
      <c r="E278" s="27" t="s">
        <v>2468</v>
      </c>
      <c r="F278" s="34" t="b">
        <v>1</v>
      </c>
      <c r="G278" s="29"/>
      <c r="H278" s="30"/>
      <c r="I278" s="34"/>
      <c r="J278" s="29"/>
      <c r="K278" s="29"/>
      <c r="L278" s="29"/>
      <c r="M278" s="29"/>
      <c r="N278" s="29"/>
      <c r="O278" s="29"/>
      <c r="P278" s="29" t="b">
        <v>1</v>
      </c>
      <c r="Q278" s="29"/>
      <c r="R278" s="30"/>
      <c r="S278" s="84" t="s">
        <v>73</v>
      </c>
      <c r="T278" s="84" t="s">
        <v>81</v>
      </c>
      <c r="U278" s="31"/>
      <c r="V278" s="32"/>
      <c r="W278" s="35"/>
      <c r="X278" s="17">
        <v>0</v>
      </c>
      <c r="Y278" s="19">
        <v>0</v>
      </c>
    </row>
    <row r="279" spans="1:25" ht="28" x14ac:dyDescent="0.15">
      <c r="A279" s="26" t="s">
        <v>2056</v>
      </c>
      <c r="B279" s="26">
        <v>12</v>
      </c>
      <c r="C279" s="27" t="s">
        <v>2404</v>
      </c>
      <c r="D279" s="26">
        <v>7</v>
      </c>
      <c r="E279" s="27" t="s">
        <v>2469</v>
      </c>
      <c r="F279" s="34" t="b">
        <v>1</v>
      </c>
      <c r="G279" s="29"/>
      <c r="H279" s="30"/>
      <c r="I279" s="34"/>
      <c r="J279" s="29"/>
      <c r="K279" s="29"/>
      <c r="L279" s="29"/>
      <c r="M279" s="29"/>
      <c r="N279" s="29"/>
      <c r="O279" s="29"/>
      <c r="P279" s="29" t="b">
        <v>1</v>
      </c>
      <c r="Q279" s="29"/>
      <c r="R279" s="30"/>
      <c r="S279" s="84" t="s">
        <v>73</v>
      </c>
      <c r="T279" s="84" t="s">
        <v>81</v>
      </c>
      <c r="U279" s="31" t="s">
        <v>8</v>
      </c>
      <c r="V279" s="32"/>
      <c r="W279" s="35"/>
      <c r="X279" s="17">
        <v>0</v>
      </c>
      <c r="Y279" s="19">
        <v>0</v>
      </c>
    </row>
    <row r="280" spans="1:25" ht="28" x14ac:dyDescent="0.15">
      <c r="A280" s="26" t="s">
        <v>2056</v>
      </c>
      <c r="B280" s="26">
        <v>12</v>
      </c>
      <c r="C280" s="27" t="s">
        <v>2404</v>
      </c>
      <c r="D280" s="26">
        <v>7</v>
      </c>
      <c r="E280" s="27" t="s">
        <v>2470</v>
      </c>
      <c r="F280" s="34" t="b">
        <v>1</v>
      </c>
      <c r="G280" s="29"/>
      <c r="H280" s="30"/>
      <c r="I280" s="34"/>
      <c r="J280" s="29"/>
      <c r="K280" s="29"/>
      <c r="L280" s="29"/>
      <c r="M280" s="29"/>
      <c r="N280" s="29"/>
      <c r="O280" s="29"/>
      <c r="P280" s="29" t="b">
        <v>1</v>
      </c>
      <c r="Q280" s="29"/>
      <c r="R280" s="30"/>
      <c r="S280" s="84"/>
      <c r="T280" s="84" t="s">
        <v>81</v>
      </c>
      <c r="U280" s="31" t="s">
        <v>8</v>
      </c>
      <c r="V280" s="32" t="s">
        <v>98</v>
      </c>
      <c r="W280" s="35"/>
      <c r="X280" s="17">
        <v>0</v>
      </c>
      <c r="Y280" s="19">
        <v>0</v>
      </c>
    </row>
    <row r="281" spans="1:25" ht="28" x14ac:dyDescent="0.15">
      <c r="A281" s="26" t="s">
        <v>2056</v>
      </c>
      <c r="B281" s="26">
        <v>12</v>
      </c>
      <c r="C281" s="27" t="s">
        <v>2404</v>
      </c>
      <c r="D281" s="26">
        <v>7</v>
      </c>
      <c r="E281" s="27" t="s">
        <v>2471</v>
      </c>
      <c r="F281" s="34" t="b">
        <v>1</v>
      </c>
      <c r="G281" s="29"/>
      <c r="H281" s="30"/>
      <c r="I281" s="34"/>
      <c r="J281" s="29"/>
      <c r="K281" s="29"/>
      <c r="L281" s="29"/>
      <c r="M281" s="29"/>
      <c r="N281" s="29"/>
      <c r="O281" s="29"/>
      <c r="P281" s="29" t="b">
        <v>1</v>
      </c>
      <c r="Q281" s="29"/>
      <c r="R281" s="30"/>
      <c r="S281" s="84"/>
      <c r="T281" s="84" t="s">
        <v>81</v>
      </c>
      <c r="U281" s="31"/>
      <c r="V281" s="32"/>
      <c r="W281" s="35"/>
      <c r="X281" s="17">
        <v>0</v>
      </c>
      <c r="Y281" s="19">
        <v>0</v>
      </c>
    </row>
    <row r="282" spans="1:25" ht="21" x14ac:dyDescent="0.15">
      <c r="A282" s="26" t="s">
        <v>2056</v>
      </c>
      <c r="B282" s="26">
        <v>12</v>
      </c>
      <c r="C282" s="27" t="s">
        <v>2404</v>
      </c>
      <c r="D282" s="26">
        <v>8</v>
      </c>
      <c r="E282" s="27" t="s">
        <v>2472</v>
      </c>
      <c r="F282" s="34" t="b">
        <v>1</v>
      </c>
      <c r="G282" s="29"/>
      <c r="H282" s="30"/>
      <c r="I282" s="34"/>
      <c r="J282" s="29"/>
      <c r="K282" s="29"/>
      <c r="L282" s="29"/>
      <c r="M282" s="29"/>
      <c r="N282" s="29"/>
      <c r="O282" s="29"/>
      <c r="P282" s="29" t="b">
        <v>1</v>
      </c>
      <c r="Q282" s="29"/>
      <c r="R282" s="30"/>
      <c r="S282" s="84"/>
      <c r="T282" s="84"/>
      <c r="U282" s="31" t="s">
        <v>8</v>
      </c>
      <c r="V282" s="32" t="s">
        <v>98</v>
      </c>
      <c r="W282" s="35"/>
      <c r="X282" s="17">
        <v>0</v>
      </c>
      <c r="Y282" s="19">
        <v>0</v>
      </c>
    </row>
    <row r="283" spans="1:25" ht="28" x14ac:dyDescent="0.15">
      <c r="A283" s="26" t="s">
        <v>2056</v>
      </c>
      <c r="B283" s="26">
        <v>12</v>
      </c>
      <c r="C283" s="27" t="s">
        <v>2404</v>
      </c>
      <c r="D283" s="26">
        <v>8</v>
      </c>
      <c r="E283" s="27" t="s">
        <v>2473</v>
      </c>
      <c r="F283" s="34" t="b">
        <v>1</v>
      </c>
      <c r="G283" s="29"/>
      <c r="H283" s="30"/>
      <c r="I283" s="34"/>
      <c r="J283" s="29"/>
      <c r="K283" s="29"/>
      <c r="L283" s="29"/>
      <c r="M283" s="29"/>
      <c r="N283" s="29"/>
      <c r="O283" s="29"/>
      <c r="P283" s="29" t="b">
        <v>1</v>
      </c>
      <c r="Q283" s="29"/>
      <c r="R283" s="30"/>
      <c r="S283" s="84" t="s">
        <v>73</v>
      </c>
      <c r="T283" s="84" t="s">
        <v>81</v>
      </c>
      <c r="U283" s="31" t="s">
        <v>8</v>
      </c>
      <c r="V283" s="32" t="s">
        <v>98</v>
      </c>
      <c r="W283" s="35"/>
      <c r="X283" s="17">
        <v>0</v>
      </c>
      <c r="Y283" s="19">
        <v>0</v>
      </c>
    </row>
    <row r="284" spans="1:25" ht="28" x14ac:dyDescent="0.15">
      <c r="A284" s="26" t="s">
        <v>2056</v>
      </c>
      <c r="B284" s="26">
        <v>12</v>
      </c>
      <c r="C284" s="27" t="s">
        <v>2404</v>
      </c>
      <c r="D284" s="26">
        <v>8</v>
      </c>
      <c r="E284" s="27" t="s">
        <v>2474</v>
      </c>
      <c r="F284" s="34" t="b">
        <v>1</v>
      </c>
      <c r="G284" s="29"/>
      <c r="H284" s="30"/>
      <c r="I284" s="34"/>
      <c r="J284" s="29"/>
      <c r="K284" s="29"/>
      <c r="L284" s="29"/>
      <c r="M284" s="29"/>
      <c r="N284" s="29"/>
      <c r="O284" s="29"/>
      <c r="P284" s="29" t="b">
        <v>1</v>
      </c>
      <c r="Q284" s="29"/>
      <c r="R284" s="30"/>
      <c r="S284" s="84" t="s">
        <v>73</v>
      </c>
      <c r="T284" s="84" t="s">
        <v>81</v>
      </c>
      <c r="U284" s="31" t="s">
        <v>8</v>
      </c>
      <c r="V284" s="32" t="s">
        <v>98</v>
      </c>
      <c r="W284" s="35"/>
      <c r="X284" s="17">
        <v>0</v>
      </c>
      <c r="Y284" s="19">
        <v>0</v>
      </c>
    </row>
    <row r="285" spans="1:25" ht="21" x14ac:dyDescent="0.15">
      <c r="A285" s="26" t="s">
        <v>2056</v>
      </c>
      <c r="B285" s="26">
        <v>12</v>
      </c>
      <c r="C285" s="27" t="s">
        <v>2404</v>
      </c>
      <c r="D285" s="26">
        <v>8</v>
      </c>
      <c r="E285" s="27" t="s">
        <v>2475</v>
      </c>
      <c r="F285" s="34" t="b">
        <v>1</v>
      </c>
      <c r="G285" s="29"/>
      <c r="H285" s="30"/>
      <c r="I285" s="34"/>
      <c r="J285" s="29"/>
      <c r="K285" s="29"/>
      <c r="L285" s="29"/>
      <c r="M285" s="29"/>
      <c r="N285" s="29"/>
      <c r="O285" s="29"/>
      <c r="P285" s="29" t="b">
        <v>1</v>
      </c>
      <c r="Q285" s="29"/>
      <c r="R285" s="30"/>
      <c r="S285" s="84"/>
      <c r="T285" s="84"/>
      <c r="U285" s="31" t="s">
        <v>8</v>
      </c>
      <c r="V285" s="32" t="s">
        <v>98</v>
      </c>
      <c r="W285" s="35"/>
      <c r="X285" s="17">
        <v>0</v>
      </c>
      <c r="Y285" s="19">
        <v>0</v>
      </c>
    </row>
    <row r="286" spans="1:25" ht="28" x14ac:dyDescent="0.15">
      <c r="A286" s="26" t="s">
        <v>2056</v>
      </c>
      <c r="B286" s="26">
        <v>12</v>
      </c>
      <c r="C286" s="27" t="s">
        <v>2404</v>
      </c>
      <c r="D286" s="26">
        <v>9</v>
      </c>
      <c r="E286" s="27" t="s">
        <v>2476</v>
      </c>
      <c r="F286" s="34" t="b">
        <v>1</v>
      </c>
      <c r="G286" s="29"/>
      <c r="H286" s="30"/>
      <c r="I286" s="34"/>
      <c r="J286" s="29"/>
      <c r="K286" s="29"/>
      <c r="L286" s="29"/>
      <c r="M286" s="29"/>
      <c r="N286" s="29"/>
      <c r="O286" s="29"/>
      <c r="P286" s="29" t="b">
        <v>1</v>
      </c>
      <c r="Q286" s="29"/>
      <c r="R286" s="30"/>
      <c r="S286" s="84" t="s">
        <v>73</v>
      </c>
      <c r="T286" s="84" t="s">
        <v>81</v>
      </c>
      <c r="U286" s="31"/>
      <c r="V286" s="32" t="s">
        <v>98</v>
      </c>
      <c r="W286" s="35"/>
      <c r="X286" s="17">
        <v>0</v>
      </c>
      <c r="Y286" s="19">
        <v>0</v>
      </c>
    </row>
    <row r="287" spans="1:25" ht="28" x14ac:dyDescent="0.15">
      <c r="A287" s="26" t="s">
        <v>2056</v>
      </c>
      <c r="B287" s="26">
        <v>12</v>
      </c>
      <c r="C287" s="27" t="s">
        <v>2404</v>
      </c>
      <c r="D287" s="26">
        <v>9</v>
      </c>
      <c r="E287" s="27" t="s">
        <v>2477</v>
      </c>
      <c r="F287" s="34" t="b">
        <v>1</v>
      </c>
      <c r="G287" s="29"/>
      <c r="H287" s="30"/>
      <c r="I287" s="34"/>
      <c r="J287" s="29"/>
      <c r="K287" s="29"/>
      <c r="L287" s="29"/>
      <c r="M287" s="29"/>
      <c r="N287" s="29"/>
      <c r="O287" s="29"/>
      <c r="P287" s="29" t="b">
        <v>1</v>
      </c>
      <c r="Q287" s="29"/>
      <c r="R287" s="30"/>
      <c r="S287" s="84" t="s">
        <v>73</v>
      </c>
      <c r="T287" s="84" t="s">
        <v>81</v>
      </c>
      <c r="U287" s="31" t="s">
        <v>8</v>
      </c>
      <c r="V287" s="32"/>
      <c r="W287" s="35"/>
      <c r="X287" s="17">
        <v>0</v>
      </c>
      <c r="Y287" s="19">
        <v>0</v>
      </c>
    </row>
    <row r="288" spans="1:25" ht="28" x14ac:dyDescent="0.15">
      <c r="A288" s="26" t="s">
        <v>2056</v>
      </c>
      <c r="B288" s="26">
        <v>12</v>
      </c>
      <c r="C288" s="27" t="s">
        <v>2404</v>
      </c>
      <c r="D288" s="26">
        <v>9</v>
      </c>
      <c r="E288" s="27" t="s">
        <v>2478</v>
      </c>
      <c r="F288" s="34" t="b">
        <v>1</v>
      </c>
      <c r="G288" s="29"/>
      <c r="H288" s="30"/>
      <c r="I288" s="34"/>
      <c r="J288" s="29"/>
      <c r="K288" s="29"/>
      <c r="L288" s="29"/>
      <c r="M288" s="29"/>
      <c r="N288" s="29"/>
      <c r="O288" s="29"/>
      <c r="P288" s="29" t="b">
        <v>1</v>
      </c>
      <c r="Q288" s="29"/>
      <c r="R288" s="30"/>
      <c r="S288" s="84" t="s">
        <v>73</v>
      </c>
      <c r="T288" s="84" t="s">
        <v>81</v>
      </c>
      <c r="U288" s="31" t="s">
        <v>8</v>
      </c>
      <c r="V288" s="32" t="s">
        <v>98</v>
      </c>
      <c r="W288" s="35"/>
      <c r="X288" s="17">
        <v>0</v>
      </c>
      <c r="Y288" s="19">
        <v>0</v>
      </c>
    </row>
    <row r="289" spans="1:25" ht="28" x14ac:dyDescent="0.15">
      <c r="A289" s="26" t="s">
        <v>2056</v>
      </c>
      <c r="B289" s="26">
        <v>12</v>
      </c>
      <c r="C289" s="27" t="s">
        <v>2404</v>
      </c>
      <c r="D289" s="26">
        <v>10</v>
      </c>
      <c r="E289" s="27" t="s">
        <v>2479</v>
      </c>
      <c r="F289" s="34" t="b">
        <v>1</v>
      </c>
      <c r="G289" s="29"/>
      <c r="H289" s="30"/>
      <c r="I289" s="34"/>
      <c r="J289" s="29"/>
      <c r="K289" s="29"/>
      <c r="L289" s="29"/>
      <c r="M289" s="29"/>
      <c r="N289" s="29"/>
      <c r="O289" s="29"/>
      <c r="P289" s="29" t="b">
        <v>1</v>
      </c>
      <c r="Q289" s="29"/>
      <c r="R289" s="30"/>
      <c r="S289" s="84"/>
      <c r="T289" s="84" t="s">
        <v>81</v>
      </c>
      <c r="U289" s="31" t="s">
        <v>8</v>
      </c>
      <c r="V289" s="32" t="s">
        <v>98</v>
      </c>
      <c r="W289" s="35"/>
      <c r="X289" s="17">
        <v>0</v>
      </c>
      <c r="Y289" s="19">
        <v>0</v>
      </c>
    </row>
    <row r="290" spans="1:25" ht="42" x14ac:dyDescent="0.15">
      <c r="A290" s="26" t="s">
        <v>2056</v>
      </c>
      <c r="B290" s="26">
        <v>12</v>
      </c>
      <c r="C290" s="27" t="s">
        <v>2404</v>
      </c>
      <c r="D290" s="26">
        <v>10</v>
      </c>
      <c r="E290" s="27" t="s">
        <v>2480</v>
      </c>
      <c r="F290" s="34" t="b">
        <v>1</v>
      </c>
      <c r="G290" s="29"/>
      <c r="H290" s="30"/>
      <c r="I290" s="34"/>
      <c r="J290" s="29"/>
      <c r="K290" s="29"/>
      <c r="L290" s="29"/>
      <c r="M290" s="29"/>
      <c r="N290" s="29"/>
      <c r="O290" s="29"/>
      <c r="P290" s="29" t="b">
        <v>1</v>
      </c>
      <c r="Q290" s="29"/>
      <c r="R290" s="30"/>
      <c r="S290" s="84"/>
      <c r="T290" s="84"/>
      <c r="U290" s="31" t="s">
        <v>8</v>
      </c>
      <c r="V290" s="32" t="s">
        <v>98</v>
      </c>
      <c r="W290" s="35"/>
      <c r="X290" s="17">
        <v>0</v>
      </c>
      <c r="Y290" s="19">
        <v>0</v>
      </c>
    </row>
    <row r="291" spans="1:25" ht="28" x14ac:dyDescent="0.15">
      <c r="A291" s="26" t="s">
        <v>2056</v>
      </c>
      <c r="B291" s="26">
        <v>12</v>
      </c>
      <c r="C291" s="27" t="s">
        <v>2404</v>
      </c>
      <c r="D291" s="26">
        <v>10</v>
      </c>
      <c r="E291" s="27" t="s">
        <v>2481</v>
      </c>
      <c r="F291" s="34" t="b">
        <v>1</v>
      </c>
      <c r="G291" s="29"/>
      <c r="H291" s="30"/>
      <c r="I291" s="34"/>
      <c r="J291" s="29"/>
      <c r="K291" s="29"/>
      <c r="L291" s="29"/>
      <c r="M291" s="29"/>
      <c r="N291" s="29"/>
      <c r="O291" s="29"/>
      <c r="P291" s="29" t="b">
        <v>1</v>
      </c>
      <c r="Q291" s="29"/>
      <c r="R291" s="30"/>
      <c r="S291" s="84" t="s">
        <v>73</v>
      </c>
      <c r="T291" s="84" t="s">
        <v>99</v>
      </c>
      <c r="U291" s="31" t="s">
        <v>8</v>
      </c>
      <c r="V291" s="32"/>
      <c r="W291" s="35"/>
      <c r="X291" s="17">
        <v>0</v>
      </c>
      <c r="Y291" s="19">
        <v>0</v>
      </c>
    </row>
    <row r="292" spans="1:25" ht="21" x14ac:dyDescent="0.15">
      <c r="A292" s="26" t="s">
        <v>2056</v>
      </c>
      <c r="B292" s="26">
        <v>12</v>
      </c>
      <c r="C292" s="27" t="s">
        <v>2404</v>
      </c>
      <c r="D292" s="26">
        <v>10</v>
      </c>
      <c r="E292" s="27" t="s">
        <v>2482</v>
      </c>
      <c r="F292" s="34" t="b">
        <v>1</v>
      </c>
      <c r="G292" s="29"/>
      <c r="H292" s="30"/>
      <c r="I292" s="34"/>
      <c r="J292" s="29"/>
      <c r="K292" s="29"/>
      <c r="L292" s="29"/>
      <c r="M292" s="29"/>
      <c r="N292" s="29"/>
      <c r="O292" s="29"/>
      <c r="P292" s="29" t="b">
        <v>1</v>
      </c>
      <c r="Q292" s="29"/>
      <c r="R292" s="30"/>
      <c r="S292" s="84"/>
      <c r="T292" s="84"/>
      <c r="U292" s="31" t="s">
        <v>8</v>
      </c>
      <c r="V292" s="32" t="s">
        <v>98</v>
      </c>
      <c r="W292" s="35"/>
      <c r="X292" s="17">
        <v>0</v>
      </c>
      <c r="Y292" s="19">
        <v>0</v>
      </c>
    </row>
    <row r="293" spans="1:25" ht="28" x14ac:dyDescent="0.15">
      <c r="A293" s="26" t="s">
        <v>2056</v>
      </c>
      <c r="B293" s="26">
        <v>12</v>
      </c>
      <c r="C293" s="27" t="s">
        <v>2404</v>
      </c>
      <c r="D293" s="26">
        <v>10</v>
      </c>
      <c r="E293" s="27" t="s">
        <v>2483</v>
      </c>
      <c r="F293" s="34" t="b">
        <v>1</v>
      </c>
      <c r="G293" s="29"/>
      <c r="H293" s="30"/>
      <c r="I293" s="34"/>
      <c r="J293" s="29"/>
      <c r="K293" s="29"/>
      <c r="L293" s="29"/>
      <c r="M293" s="29"/>
      <c r="N293" s="29"/>
      <c r="O293" s="29"/>
      <c r="P293" s="29" t="b">
        <v>1</v>
      </c>
      <c r="Q293" s="29"/>
      <c r="R293" s="30"/>
      <c r="S293" s="84"/>
      <c r="T293" s="84"/>
      <c r="U293" s="36"/>
      <c r="V293" s="37"/>
      <c r="W293" s="35"/>
      <c r="X293" s="17">
        <v>0</v>
      </c>
      <c r="Y293" s="19">
        <v>0</v>
      </c>
    </row>
    <row r="294" spans="1:25" ht="28" x14ac:dyDescent="0.15">
      <c r="A294" s="26" t="s">
        <v>2056</v>
      </c>
      <c r="B294" s="26">
        <v>12</v>
      </c>
      <c r="C294" s="27" t="s">
        <v>2404</v>
      </c>
      <c r="D294" s="26">
        <v>10</v>
      </c>
      <c r="E294" s="27" t="s">
        <v>2484</v>
      </c>
      <c r="F294" s="34" t="b">
        <v>1</v>
      </c>
      <c r="G294" s="29"/>
      <c r="H294" s="30"/>
      <c r="I294" s="34"/>
      <c r="J294" s="29"/>
      <c r="K294" s="29"/>
      <c r="L294" s="29"/>
      <c r="M294" s="29"/>
      <c r="N294" s="29"/>
      <c r="O294" s="29"/>
      <c r="P294" s="29" t="b">
        <v>1</v>
      </c>
      <c r="Q294" s="29"/>
      <c r="R294" s="30"/>
      <c r="S294" s="84" t="s">
        <v>73</v>
      </c>
      <c r="T294" s="84" t="s">
        <v>74</v>
      </c>
      <c r="U294" s="36" t="s">
        <v>75</v>
      </c>
      <c r="V294" s="37" t="s">
        <v>76</v>
      </c>
      <c r="W294" s="35"/>
      <c r="X294" s="17">
        <v>0</v>
      </c>
      <c r="Y294" s="19">
        <v>0</v>
      </c>
    </row>
    <row r="295" spans="1:25" ht="42" x14ac:dyDescent="0.15">
      <c r="A295" s="26" t="s">
        <v>2056</v>
      </c>
      <c r="B295" s="26">
        <v>12</v>
      </c>
      <c r="C295" s="27" t="s">
        <v>2404</v>
      </c>
      <c r="D295" s="26">
        <v>11</v>
      </c>
      <c r="E295" s="27" t="s">
        <v>2485</v>
      </c>
      <c r="F295" s="34" t="b">
        <v>1</v>
      </c>
      <c r="G295" s="29"/>
      <c r="H295" s="30"/>
      <c r="I295" s="34"/>
      <c r="J295" s="29"/>
      <c r="K295" s="29"/>
      <c r="L295" s="29"/>
      <c r="M295" s="29"/>
      <c r="N295" s="29"/>
      <c r="O295" s="29"/>
      <c r="P295" s="29" t="b">
        <v>1</v>
      </c>
      <c r="Q295" s="29"/>
      <c r="R295" s="30"/>
      <c r="S295" s="84"/>
      <c r="T295" s="84"/>
      <c r="U295" s="36"/>
      <c r="V295" s="37"/>
      <c r="W295" s="35"/>
      <c r="X295" s="17">
        <v>0</v>
      </c>
      <c r="Y295" s="19">
        <v>0</v>
      </c>
    </row>
    <row r="296" spans="1:25" ht="28" x14ac:dyDescent="0.15">
      <c r="A296" s="26" t="s">
        <v>2056</v>
      </c>
      <c r="B296" s="26">
        <v>12</v>
      </c>
      <c r="C296" s="27" t="s">
        <v>2404</v>
      </c>
      <c r="D296" s="26">
        <v>11</v>
      </c>
      <c r="E296" s="27" t="s">
        <v>2486</v>
      </c>
      <c r="F296" s="34" t="b">
        <v>1</v>
      </c>
      <c r="G296" s="29"/>
      <c r="H296" s="30"/>
      <c r="I296" s="34"/>
      <c r="J296" s="29"/>
      <c r="K296" s="29"/>
      <c r="L296" s="29"/>
      <c r="M296" s="29"/>
      <c r="N296" s="29"/>
      <c r="O296" s="29"/>
      <c r="P296" s="29" t="b">
        <v>1</v>
      </c>
      <c r="Q296" s="29"/>
      <c r="R296" s="30"/>
      <c r="S296" s="84"/>
      <c r="T296" s="84"/>
      <c r="U296" s="36"/>
      <c r="V296" s="37"/>
      <c r="W296" s="35"/>
      <c r="X296" s="17">
        <v>0</v>
      </c>
      <c r="Y296" s="19">
        <v>0</v>
      </c>
    </row>
    <row r="297" spans="1:25" ht="28" x14ac:dyDescent="0.15">
      <c r="A297" s="26" t="s">
        <v>2056</v>
      </c>
      <c r="B297" s="26">
        <v>12</v>
      </c>
      <c r="C297" s="27" t="s">
        <v>2404</v>
      </c>
      <c r="D297" s="26">
        <v>12</v>
      </c>
      <c r="E297" s="27" t="s">
        <v>2487</v>
      </c>
      <c r="F297" s="34" t="b">
        <v>1</v>
      </c>
      <c r="G297" s="29"/>
      <c r="H297" s="30"/>
      <c r="I297" s="34"/>
      <c r="J297" s="29"/>
      <c r="K297" s="29"/>
      <c r="L297" s="29"/>
      <c r="M297" s="29"/>
      <c r="N297" s="29"/>
      <c r="O297" s="29"/>
      <c r="P297" s="29" t="b">
        <v>1</v>
      </c>
      <c r="Q297" s="29"/>
      <c r="R297" s="30"/>
      <c r="S297" s="84" t="s">
        <v>73</v>
      </c>
      <c r="T297" s="84"/>
      <c r="U297" s="36"/>
      <c r="V297" s="37"/>
      <c r="W297" s="35"/>
      <c r="X297" s="17">
        <v>0</v>
      </c>
      <c r="Y297" s="19">
        <v>0</v>
      </c>
    </row>
    <row r="298" spans="1:25" ht="21" x14ac:dyDescent="0.15">
      <c r="A298" s="26" t="s">
        <v>2056</v>
      </c>
      <c r="B298" s="26">
        <v>12</v>
      </c>
      <c r="C298" s="27" t="s">
        <v>2404</v>
      </c>
      <c r="D298" s="26">
        <v>12</v>
      </c>
      <c r="E298" s="27" t="s">
        <v>2488</v>
      </c>
      <c r="F298" s="34" t="b">
        <v>1</v>
      </c>
      <c r="G298" s="29"/>
      <c r="H298" s="30"/>
      <c r="I298" s="34"/>
      <c r="J298" s="29"/>
      <c r="K298" s="29"/>
      <c r="L298" s="29"/>
      <c r="M298" s="29"/>
      <c r="N298" s="29"/>
      <c r="O298" s="29"/>
      <c r="P298" s="29" t="b">
        <v>1</v>
      </c>
      <c r="Q298" s="29"/>
      <c r="R298" s="30"/>
      <c r="S298" s="84"/>
      <c r="T298" s="84"/>
      <c r="U298" s="36"/>
      <c r="V298" s="37"/>
      <c r="W298" s="35"/>
      <c r="X298" s="17">
        <v>0</v>
      </c>
      <c r="Y298" s="19">
        <v>0</v>
      </c>
    </row>
    <row r="299" spans="1:25" ht="28" x14ac:dyDescent="0.15">
      <c r="A299" s="26" t="s">
        <v>2056</v>
      </c>
      <c r="B299" s="26">
        <v>12</v>
      </c>
      <c r="C299" s="27" t="s">
        <v>2404</v>
      </c>
      <c r="D299" s="26">
        <v>12</v>
      </c>
      <c r="E299" s="27" t="s">
        <v>2489</v>
      </c>
      <c r="F299" s="34" t="b">
        <v>1</v>
      </c>
      <c r="G299" s="29"/>
      <c r="H299" s="30"/>
      <c r="I299" s="34"/>
      <c r="J299" s="29"/>
      <c r="K299" s="29"/>
      <c r="L299" s="29"/>
      <c r="M299" s="29"/>
      <c r="N299" s="29"/>
      <c r="O299" s="29"/>
      <c r="P299" s="29" t="b">
        <v>1</v>
      </c>
      <c r="Q299" s="29"/>
      <c r="R299" s="30"/>
      <c r="S299" s="84"/>
      <c r="T299" s="84"/>
      <c r="U299" s="36"/>
      <c r="V299" s="37"/>
      <c r="W299" s="35"/>
      <c r="X299" s="17">
        <v>0</v>
      </c>
      <c r="Y299" s="19">
        <v>0</v>
      </c>
    </row>
    <row r="300" spans="1:25" ht="21" x14ac:dyDescent="0.15">
      <c r="A300" s="26" t="s">
        <v>2056</v>
      </c>
      <c r="B300" s="26">
        <v>12</v>
      </c>
      <c r="C300" s="27" t="s">
        <v>2404</v>
      </c>
      <c r="D300" s="26">
        <v>13</v>
      </c>
      <c r="E300" s="27" t="s">
        <v>2490</v>
      </c>
      <c r="F300" s="34" t="b">
        <v>1</v>
      </c>
      <c r="G300" s="29"/>
      <c r="H300" s="30"/>
      <c r="I300" s="34"/>
      <c r="J300" s="29"/>
      <c r="K300" s="29"/>
      <c r="L300" s="29"/>
      <c r="M300" s="29"/>
      <c r="N300" s="29"/>
      <c r="O300" s="29"/>
      <c r="P300" s="29" t="b">
        <v>1</v>
      </c>
      <c r="Q300" s="29"/>
      <c r="R300" s="30"/>
      <c r="S300" s="84"/>
      <c r="T300" s="84" t="s">
        <v>26</v>
      </c>
      <c r="U300" s="36" t="s">
        <v>26</v>
      </c>
      <c r="V300" s="37" t="s">
        <v>72</v>
      </c>
      <c r="W300" s="35"/>
      <c r="X300" s="17">
        <v>0</v>
      </c>
      <c r="Y300" s="19">
        <v>0</v>
      </c>
    </row>
    <row r="301" spans="1:25" ht="21" x14ac:dyDescent="0.15">
      <c r="A301" s="26" t="s">
        <v>2056</v>
      </c>
      <c r="B301" s="26">
        <v>13</v>
      </c>
      <c r="C301" s="27" t="s">
        <v>99</v>
      </c>
      <c r="D301" s="26">
        <v>1</v>
      </c>
      <c r="E301" s="27" t="s">
        <v>2133</v>
      </c>
      <c r="F301" s="34" t="b">
        <v>1</v>
      </c>
      <c r="G301" s="29"/>
      <c r="H301" s="30" t="b">
        <v>1</v>
      </c>
      <c r="I301" s="34"/>
      <c r="J301" s="29"/>
      <c r="K301" s="29" t="b">
        <v>1</v>
      </c>
      <c r="L301" s="29"/>
      <c r="M301" s="29"/>
      <c r="N301" s="29"/>
      <c r="O301" s="29"/>
      <c r="P301" s="29" t="b">
        <v>1</v>
      </c>
      <c r="Q301" s="29"/>
      <c r="R301" s="30" t="b">
        <v>1</v>
      </c>
      <c r="S301" s="84"/>
      <c r="T301" s="84"/>
      <c r="U301" s="36"/>
      <c r="V301" s="37"/>
      <c r="W301" s="35"/>
      <c r="X301" s="17">
        <v>1</v>
      </c>
      <c r="Y301" s="19">
        <v>0</v>
      </c>
    </row>
    <row r="302" spans="1:25" ht="28" x14ac:dyDescent="0.15">
      <c r="A302" s="26" t="s">
        <v>2056</v>
      </c>
      <c r="B302" s="26">
        <v>13</v>
      </c>
      <c r="C302" s="27" t="s">
        <v>99</v>
      </c>
      <c r="D302" s="26">
        <v>1</v>
      </c>
      <c r="E302" s="27" t="s">
        <v>2129</v>
      </c>
      <c r="F302" s="34" t="b">
        <v>1</v>
      </c>
      <c r="G302" s="29"/>
      <c r="H302" s="30" t="b">
        <v>1</v>
      </c>
      <c r="I302" s="34"/>
      <c r="J302" s="29"/>
      <c r="K302" s="29" t="b">
        <v>1</v>
      </c>
      <c r="L302" s="29"/>
      <c r="M302" s="29"/>
      <c r="N302" s="29"/>
      <c r="O302" s="29"/>
      <c r="P302" s="29" t="b">
        <v>1</v>
      </c>
      <c r="Q302" s="29"/>
      <c r="R302" s="30" t="b">
        <v>1</v>
      </c>
      <c r="S302" s="84"/>
      <c r="T302" s="84"/>
      <c r="U302" s="36"/>
      <c r="V302" s="37"/>
      <c r="W302" s="35" t="s">
        <v>89</v>
      </c>
      <c r="X302" s="17">
        <v>1</v>
      </c>
      <c r="Y302" s="19">
        <v>0</v>
      </c>
    </row>
    <row r="303" spans="1:25" ht="21" x14ac:dyDescent="0.15">
      <c r="A303" s="26" t="s">
        <v>2056</v>
      </c>
      <c r="B303" s="26">
        <v>13</v>
      </c>
      <c r="C303" s="27" t="s">
        <v>99</v>
      </c>
      <c r="D303" s="26">
        <v>1</v>
      </c>
      <c r="E303" s="27" t="s">
        <v>2131</v>
      </c>
      <c r="F303" s="34" t="b">
        <v>1</v>
      </c>
      <c r="G303" s="29"/>
      <c r="H303" s="30" t="b">
        <v>1</v>
      </c>
      <c r="I303" s="34"/>
      <c r="J303" s="29"/>
      <c r="K303" s="29"/>
      <c r="L303" s="29"/>
      <c r="M303" s="29"/>
      <c r="N303" s="29"/>
      <c r="O303" s="29"/>
      <c r="P303" s="29" t="b">
        <v>1</v>
      </c>
      <c r="Q303" s="29"/>
      <c r="R303" s="30" t="b">
        <v>1</v>
      </c>
      <c r="S303" s="84"/>
      <c r="T303" s="84"/>
      <c r="U303" s="36"/>
      <c r="V303" s="37"/>
      <c r="W303" s="35" t="s">
        <v>89</v>
      </c>
      <c r="X303" s="17">
        <v>1</v>
      </c>
      <c r="Y303" s="19">
        <v>0</v>
      </c>
    </row>
    <row r="304" spans="1:25" ht="21" x14ac:dyDescent="0.15">
      <c r="A304" s="26" t="s">
        <v>2056</v>
      </c>
      <c r="B304" s="26">
        <v>13</v>
      </c>
      <c r="C304" s="27" t="s">
        <v>99</v>
      </c>
      <c r="D304" s="26">
        <v>1</v>
      </c>
      <c r="E304" s="27" t="s">
        <v>2132</v>
      </c>
      <c r="F304" s="34" t="b">
        <v>1</v>
      </c>
      <c r="G304" s="29"/>
      <c r="H304" s="30" t="b">
        <v>1</v>
      </c>
      <c r="I304" s="34"/>
      <c r="J304" s="29"/>
      <c r="K304" s="29"/>
      <c r="L304" s="29"/>
      <c r="M304" s="29"/>
      <c r="N304" s="29"/>
      <c r="O304" s="29" t="b">
        <v>1</v>
      </c>
      <c r="P304" s="29" t="b">
        <v>1</v>
      </c>
      <c r="Q304" s="29"/>
      <c r="R304" s="30" t="b">
        <v>1</v>
      </c>
      <c r="S304" s="84" t="s">
        <v>29</v>
      </c>
      <c r="T304" s="84" t="s">
        <v>91</v>
      </c>
      <c r="U304" s="31"/>
      <c r="V304" s="32" t="s">
        <v>71</v>
      </c>
      <c r="W304" s="35" t="s">
        <v>52</v>
      </c>
      <c r="X304" s="17">
        <v>1</v>
      </c>
      <c r="Y304" s="19">
        <v>0</v>
      </c>
    </row>
    <row r="305" spans="1:25" ht="21" x14ac:dyDescent="0.15">
      <c r="A305" s="26" t="s">
        <v>2056</v>
      </c>
      <c r="B305" s="26">
        <v>13</v>
      </c>
      <c r="C305" s="27" t="s">
        <v>99</v>
      </c>
      <c r="D305" s="26">
        <v>2</v>
      </c>
      <c r="E305" s="27" t="s">
        <v>2134</v>
      </c>
      <c r="F305" s="34" t="b">
        <v>1</v>
      </c>
      <c r="G305" s="29"/>
      <c r="H305" s="30" t="b">
        <v>1</v>
      </c>
      <c r="I305" s="34"/>
      <c r="J305" s="29"/>
      <c r="K305" s="29" t="b">
        <v>1</v>
      </c>
      <c r="L305" s="29"/>
      <c r="M305" s="29"/>
      <c r="N305" s="29"/>
      <c r="O305" s="29"/>
      <c r="P305" s="29" t="b">
        <v>1</v>
      </c>
      <c r="Q305" s="29"/>
      <c r="R305" s="30" t="b">
        <v>1</v>
      </c>
      <c r="S305" s="84" t="s">
        <v>29</v>
      </c>
      <c r="T305" s="84" t="s">
        <v>91</v>
      </c>
      <c r="U305" s="31"/>
      <c r="V305" s="32" t="s">
        <v>71</v>
      </c>
      <c r="W305" s="35"/>
      <c r="X305" s="17">
        <v>1</v>
      </c>
      <c r="Y305" s="19">
        <v>0</v>
      </c>
    </row>
    <row r="306" spans="1:25" ht="28" x14ac:dyDescent="0.15">
      <c r="A306" s="26" t="s">
        <v>2056</v>
      </c>
      <c r="B306" s="26">
        <v>13</v>
      </c>
      <c r="C306" s="27" t="s">
        <v>99</v>
      </c>
      <c r="D306" s="26">
        <v>2</v>
      </c>
      <c r="E306" s="27" t="s">
        <v>2135</v>
      </c>
      <c r="F306" s="34" t="b">
        <v>1</v>
      </c>
      <c r="G306" s="29"/>
      <c r="H306" s="30" t="b">
        <v>1</v>
      </c>
      <c r="I306" s="34"/>
      <c r="J306" s="29"/>
      <c r="K306" s="29" t="b">
        <v>1</v>
      </c>
      <c r="L306" s="29"/>
      <c r="M306" s="29"/>
      <c r="N306" s="29"/>
      <c r="O306" s="29"/>
      <c r="P306" s="29" t="b">
        <v>1</v>
      </c>
      <c r="Q306" s="29"/>
      <c r="R306" s="30" t="b">
        <v>1</v>
      </c>
      <c r="S306" s="84" t="s">
        <v>29</v>
      </c>
      <c r="T306" s="84"/>
      <c r="U306" s="31"/>
      <c r="V306" s="32" t="s">
        <v>71</v>
      </c>
      <c r="W306" s="35"/>
      <c r="X306" s="17">
        <v>1</v>
      </c>
      <c r="Y306" s="19">
        <v>0</v>
      </c>
    </row>
    <row r="307" spans="1:25" ht="28" x14ac:dyDescent="0.15">
      <c r="A307" s="26" t="s">
        <v>2056</v>
      </c>
      <c r="B307" s="26">
        <v>13</v>
      </c>
      <c r="C307" s="27" t="s">
        <v>99</v>
      </c>
      <c r="D307" s="26">
        <v>3</v>
      </c>
      <c r="E307" s="27" t="s">
        <v>2136</v>
      </c>
      <c r="F307" s="34" t="b">
        <v>1</v>
      </c>
      <c r="G307" s="29"/>
      <c r="H307" s="30" t="b">
        <v>1</v>
      </c>
      <c r="I307" s="34"/>
      <c r="J307" s="29"/>
      <c r="K307" s="29" t="b">
        <v>1</v>
      </c>
      <c r="L307" s="29"/>
      <c r="M307" s="29"/>
      <c r="N307" s="29"/>
      <c r="O307" s="29"/>
      <c r="P307" s="29" t="b">
        <v>1</v>
      </c>
      <c r="Q307" s="29"/>
      <c r="R307" s="30" t="b">
        <v>1</v>
      </c>
      <c r="S307" s="84" t="s">
        <v>29</v>
      </c>
      <c r="T307" s="84"/>
      <c r="U307" s="31"/>
      <c r="V307" s="32" t="s">
        <v>71</v>
      </c>
      <c r="W307" s="35"/>
      <c r="X307" s="17">
        <v>1</v>
      </c>
      <c r="Y307" s="19">
        <v>0</v>
      </c>
    </row>
    <row r="308" spans="1:25" ht="21" x14ac:dyDescent="0.15">
      <c r="A308" s="26" t="s">
        <v>2056</v>
      </c>
      <c r="B308" s="26">
        <v>13</v>
      </c>
      <c r="C308" s="27" t="s">
        <v>99</v>
      </c>
      <c r="D308" s="26">
        <v>3</v>
      </c>
      <c r="E308" s="27" t="s">
        <v>2137</v>
      </c>
      <c r="F308" s="34" t="b">
        <v>1</v>
      </c>
      <c r="G308" s="29"/>
      <c r="H308" s="30" t="b">
        <v>1</v>
      </c>
      <c r="I308" s="34"/>
      <c r="J308" s="29"/>
      <c r="K308" s="29" t="b">
        <v>1</v>
      </c>
      <c r="L308" s="29"/>
      <c r="M308" s="29"/>
      <c r="N308" s="29"/>
      <c r="O308" s="29"/>
      <c r="P308" s="29" t="b">
        <v>1</v>
      </c>
      <c r="Q308" s="29"/>
      <c r="R308" s="30" t="b">
        <v>1</v>
      </c>
      <c r="S308" s="84"/>
      <c r="T308" s="84" t="s">
        <v>91</v>
      </c>
      <c r="U308" s="31"/>
      <c r="V308" s="32" t="s">
        <v>71</v>
      </c>
      <c r="W308" s="35"/>
      <c r="X308" s="17">
        <v>1</v>
      </c>
      <c r="Y308" s="19">
        <v>0</v>
      </c>
    </row>
    <row r="309" spans="1:25" ht="28" x14ac:dyDescent="0.15">
      <c r="A309" s="26" t="s">
        <v>2056</v>
      </c>
      <c r="B309" s="26">
        <v>13</v>
      </c>
      <c r="C309" s="27" t="s">
        <v>99</v>
      </c>
      <c r="D309" s="26">
        <v>4</v>
      </c>
      <c r="E309" s="27" t="s">
        <v>2138</v>
      </c>
      <c r="F309" s="34" t="b">
        <v>1</v>
      </c>
      <c r="G309" s="29"/>
      <c r="H309" s="30" t="b">
        <v>1</v>
      </c>
      <c r="I309" s="34"/>
      <c r="J309" s="29"/>
      <c r="K309" s="29" t="b">
        <v>1</v>
      </c>
      <c r="L309" s="29"/>
      <c r="M309" s="29"/>
      <c r="N309" s="29"/>
      <c r="O309" s="29"/>
      <c r="P309" s="29" t="b">
        <v>1</v>
      </c>
      <c r="Q309" s="29"/>
      <c r="R309" s="30" t="b">
        <v>1</v>
      </c>
      <c r="S309" s="84"/>
      <c r="T309" s="84" t="s">
        <v>91</v>
      </c>
      <c r="U309" s="31" t="s">
        <v>92</v>
      </c>
      <c r="V309" s="32" t="s">
        <v>71</v>
      </c>
      <c r="W309" s="35"/>
      <c r="X309" s="17">
        <v>1</v>
      </c>
      <c r="Y309" s="19">
        <v>0</v>
      </c>
    </row>
    <row r="310" spans="1:25" ht="28" x14ac:dyDescent="0.15">
      <c r="A310" s="26" t="s">
        <v>2056</v>
      </c>
      <c r="B310" s="26">
        <v>13</v>
      </c>
      <c r="C310" s="27" t="s">
        <v>99</v>
      </c>
      <c r="D310" s="26">
        <v>4</v>
      </c>
      <c r="E310" s="27" t="s">
        <v>2139</v>
      </c>
      <c r="F310" s="34" t="b">
        <v>1</v>
      </c>
      <c r="G310" s="29"/>
      <c r="H310" s="30" t="b">
        <v>1</v>
      </c>
      <c r="I310" s="34"/>
      <c r="J310" s="29"/>
      <c r="K310" s="29" t="b">
        <v>1</v>
      </c>
      <c r="L310" s="29" t="b">
        <v>1</v>
      </c>
      <c r="M310" s="29"/>
      <c r="N310" s="29"/>
      <c r="O310" s="29"/>
      <c r="P310" s="29" t="b">
        <v>1</v>
      </c>
      <c r="Q310" s="29"/>
      <c r="R310" s="30" t="b">
        <v>1</v>
      </c>
      <c r="S310" s="84"/>
      <c r="T310" s="84" t="s">
        <v>91</v>
      </c>
      <c r="U310" s="31" t="s">
        <v>92</v>
      </c>
      <c r="V310" s="32" t="s">
        <v>71</v>
      </c>
      <c r="W310" s="35"/>
      <c r="X310" s="17">
        <v>1</v>
      </c>
      <c r="Y310" s="19">
        <v>0</v>
      </c>
    </row>
    <row r="311" spans="1:25" ht="28" x14ac:dyDescent="0.15">
      <c r="A311" s="26" t="s">
        <v>2056</v>
      </c>
      <c r="B311" s="26">
        <v>13</v>
      </c>
      <c r="C311" s="27" t="s">
        <v>99</v>
      </c>
      <c r="D311" s="26">
        <v>5</v>
      </c>
      <c r="E311" s="27" t="s">
        <v>2141</v>
      </c>
      <c r="F311" s="34" t="b">
        <v>1</v>
      </c>
      <c r="G311" s="29"/>
      <c r="H311" s="30" t="b">
        <v>1</v>
      </c>
      <c r="I311" s="34"/>
      <c r="J311" s="29"/>
      <c r="K311" s="29" t="b">
        <v>1</v>
      </c>
      <c r="L311" s="29"/>
      <c r="M311" s="29"/>
      <c r="N311" s="29"/>
      <c r="O311" s="29"/>
      <c r="P311" s="29" t="b">
        <v>1</v>
      </c>
      <c r="Q311" s="29"/>
      <c r="R311" s="30" t="b">
        <v>1</v>
      </c>
      <c r="S311" s="84"/>
      <c r="T311" s="84" t="s">
        <v>104</v>
      </c>
      <c r="U311" s="36" t="s">
        <v>92</v>
      </c>
      <c r="V311" s="32" t="s">
        <v>71</v>
      </c>
      <c r="W311" s="35"/>
      <c r="X311" s="17">
        <v>1</v>
      </c>
      <c r="Y311" s="19">
        <v>0</v>
      </c>
    </row>
    <row r="312" spans="1:25" ht="28" x14ac:dyDescent="0.15">
      <c r="A312" s="26" t="s">
        <v>2056</v>
      </c>
      <c r="B312" s="26">
        <v>13</v>
      </c>
      <c r="C312" s="27" t="s">
        <v>99</v>
      </c>
      <c r="D312" s="26">
        <v>5</v>
      </c>
      <c r="E312" s="27" t="s">
        <v>2143</v>
      </c>
      <c r="F312" s="34" t="b">
        <v>1</v>
      </c>
      <c r="G312" s="29"/>
      <c r="H312" s="30" t="b">
        <v>1</v>
      </c>
      <c r="I312" s="34"/>
      <c r="J312" s="29"/>
      <c r="K312" s="29" t="b">
        <v>1</v>
      </c>
      <c r="L312" s="29"/>
      <c r="M312" s="29"/>
      <c r="N312" s="29"/>
      <c r="O312" s="29"/>
      <c r="P312" s="29" t="b">
        <v>1</v>
      </c>
      <c r="Q312" s="29"/>
      <c r="R312" s="30" t="b">
        <v>1</v>
      </c>
      <c r="S312" s="84"/>
      <c r="T312" s="84" t="s">
        <v>91</v>
      </c>
      <c r="U312" s="31" t="s">
        <v>92</v>
      </c>
      <c r="V312" s="32" t="s">
        <v>71</v>
      </c>
      <c r="W312" s="35"/>
      <c r="X312" s="17">
        <v>1</v>
      </c>
      <c r="Y312" s="19">
        <v>0</v>
      </c>
    </row>
    <row r="313" spans="1:25" ht="28" x14ac:dyDescent="0.15">
      <c r="A313" s="26" t="s">
        <v>2056</v>
      </c>
      <c r="B313" s="26">
        <v>13</v>
      </c>
      <c r="C313" s="27" t="s">
        <v>99</v>
      </c>
      <c r="D313" s="26">
        <v>5</v>
      </c>
      <c r="E313" s="27" t="s">
        <v>2142</v>
      </c>
      <c r="F313" s="34" t="b">
        <v>1</v>
      </c>
      <c r="G313" s="29"/>
      <c r="H313" s="30" t="b">
        <v>1</v>
      </c>
      <c r="I313" s="34"/>
      <c r="J313" s="29"/>
      <c r="K313" s="29"/>
      <c r="L313" s="29"/>
      <c r="M313" s="29"/>
      <c r="N313" s="29"/>
      <c r="O313" s="29"/>
      <c r="P313" s="29" t="b">
        <v>1</v>
      </c>
      <c r="Q313" s="29"/>
      <c r="R313" s="30" t="b">
        <v>1</v>
      </c>
      <c r="S313" s="84"/>
      <c r="T313" s="84" t="s">
        <v>91</v>
      </c>
      <c r="U313" s="31" t="s">
        <v>92</v>
      </c>
      <c r="V313" s="32" t="s">
        <v>71</v>
      </c>
      <c r="W313" s="35"/>
      <c r="X313" s="17">
        <v>1</v>
      </c>
      <c r="Y313" s="19">
        <v>0</v>
      </c>
    </row>
    <row r="314" spans="1:25" ht="42" x14ac:dyDescent="0.15">
      <c r="A314" s="26" t="s">
        <v>2056</v>
      </c>
      <c r="B314" s="26">
        <v>13</v>
      </c>
      <c r="C314" s="27" t="s">
        <v>99</v>
      </c>
      <c r="D314" s="26">
        <v>6</v>
      </c>
      <c r="E314" s="27" t="s">
        <v>2144</v>
      </c>
      <c r="F314" s="34" t="b">
        <v>1</v>
      </c>
      <c r="G314" s="29"/>
      <c r="H314" s="30" t="b">
        <v>1</v>
      </c>
      <c r="I314" s="34"/>
      <c r="J314" s="29"/>
      <c r="K314" s="29"/>
      <c r="L314" s="29"/>
      <c r="M314" s="29"/>
      <c r="N314" s="29"/>
      <c r="O314" s="29"/>
      <c r="P314" s="29" t="b">
        <v>1</v>
      </c>
      <c r="Q314" s="29"/>
      <c r="R314" s="30" t="b">
        <v>1</v>
      </c>
      <c r="S314" s="84" t="s">
        <v>29</v>
      </c>
      <c r="T314" s="84"/>
      <c r="U314" s="31" t="s">
        <v>92</v>
      </c>
      <c r="V314" s="32" t="s">
        <v>71</v>
      </c>
      <c r="W314" s="35"/>
      <c r="X314" s="17">
        <v>1</v>
      </c>
      <c r="Y314" s="19">
        <v>0</v>
      </c>
    </row>
    <row r="315" spans="1:25" ht="21" x14ac:dyDescent="0.15">
      <c r="A315" s="26" t="s">
        <v>2056</v>
      </c>
      <c r="B315" s="26">
        <v>13</v>
      </c>
      <c r="C315" s="27" t="s">
        <v>99</v>
      </c>
      <c r="D315" s="26">
        <v>7</v>
      </c>
      <c r="E315" s="27" t="s">
        <v>2146</v>
      </c>
      <c r="F315" s="34" t="b">
        <v>1</v>
      </c>
      <c r="G315" s="29"/>
      <c r="H315" s="30" t="b">
        <v>1</v>
      </c>
      <c r="I315" s="34"/>
      <c r="J315" s="29"/>
      <c r="K315" s="29" t="b">
        <v>1</v>
      </c>
      <c r="L315" s="29" t="b">
        <v>1</v>
      </c>
      <c r="M315" s="29"/>
      <c r="N315" s="29"/>
      <c r="O315" s="29" t="b">
        <v>1</v>
      </c>
      <c r="P315" s="29" t="b">
        <v>1</v>
      </c>
      <c r="Q315" s="29"/>
      <c r="R315" s="30" t="b">
        <v>1</v>
      </c>
      <c r="S315" s="84"/>
      <c r="T315" s="84"/>
      <c r="U315" s="31"/>
      <c r="V315" s="32"/>
      <c r="W315" s="35"/>
      <c r="X315" s="17">
        <v>1</v>
      </c>
      <c r="Y315" s="19">
        <v>0</v>
      </c>
    </row>
    <row r="316" spans="1:25" ht="21" x14ac:dyDescent="0.15">
      <c r="A316" s="26" t="s">
        <v>2056</v>
      </c>
      <c r="B316" s="26">
        <v>13</v>
      </c>
      <c r="C316" s="27" t="s">
        <v>99</v>
      </c>
      <c r="D316" s="26">
        <v>7</v>
      </c>
      <c r="E316" s="27" t="s">
        <v>2145</v>
      </c>
      <c r="F316" s="34" t="b">
        <v>1</v>
      </c>
      <c r="G316" s="29"/>
      <c r="H316" s="30" t="b">
        <v>1</v>
      </c>
      <c r="I316" s="34"/>
      <c r="J316" s="29"/>
      <c r="K316" s="29"/>
      <c r="L316" s="29"/>
      <c r="M316" s="29"/>
      <c r="N316" s="29"/>
      <c r="O316" s="29" t="b">
        <v>1</v>
      </c>
      <c r="P316" s="29" t="b">
        <v>1</v>
      </c>
      <c r="Q316" s="29"/>
      <c r="R316" s="30" t="b">
        <v>1</v>
      </c>
      <c r="S316" s="84"/>
      <c r="T316" s="84" t="s">
        <v>91</v>
      </c>
      <c r="U316" s="31"/>
      <c r="V316" s="32"/>
      <c r="W316" s="35"/>
      <c r="X316" s="17">
        <v>1</v>
      </c>
      <c r="Y316" s="19">
        <v>0</v>
      </c>
    </row>
    <row r="317" spans="1:25" ht="28" x14ac:dyDescent="0.15">
      <c r="A317" s="26" t="s">
        <v>2056</v>
      </c>
      <c r="B317" s="26">
        <v>14</v>
      </c>
      <c r="C317" s="27" t="s">
        <v>119</v>
      </c>
      <c r="D317" s="26">
        <v>1</v>
      </c>
      <c r="E317" s="27" t="s">
        <v>2149</v>
      </c>
      <c r="F317" s="34" t="b">
        <v>1</v>
      </c>
      <c r="G317" s="29"/>
      <c r="H317" s="30"/>
      <c r="I317" s="34"/>
      <c r="J317" s="29"/>
      <c r="K317" s="29"/>
      <c r="L317" s="29"/>
      <c r="M317" s="29" t="b">
        <v>1</v>
      </c>
      <c r="N317" s="29"/>
      <c r="O317" s="29"/>
      <c r="P317" s="29"/>
      <c r="Q317" s="29"/>
      <c r="R317" s="30"/>
      <c r="S317" s="84"/>
      <c r="T317" s="84" t="s">
        <v>91</v>
      </c>
      <c r="U317" s="31" t="s">
        <v>92</v>
      </c>
      <c r="V317" s="32" t="s">
        <v>71</v>
      </c>
      <c r="W317" s="35"/>
      <c r="X317" s="17">
        <v>0</v>
      </c>
      <c r="Y317" s="19">
        <v>0</v>
      </c>
    </row>
    <row r="318" spans="1:25" ht="28" x14ac:dyDescent="0.15">
      <c r="A318" s="26" t="s">
        <v>2056</v>
      </c>
      <c r="B318" s="26">
        <v>14</v>
      </c>
      <c r="C318" s="27" t="s">
        <v>119</v>
      </c>
      <c r="D318" s="26">
        <v>1</v>
      </c>
      <c r="E318" s="27" t="s">
        <v>2148</v>
      </c>
      <c r="F318" s="34" t="b">
        <v>1</v>
      </c>
      <c r="G318" s="29"/>
      <c r="H318" s="30"/>
      <c r="I318" s="34"/>
      <c r="J318" s="29"/>
      <c r="K318" s="29"/>
      <c r="L318" s="29"/>
      <c r="M318" s="29" t="b">
        <v>1</v>
      </c>
      <c r="N318" s="29"/>
      <c r="O318" s="29"/>
      <c r="P318" s="29"/>
      <c r="Q318" s="29"/>
      <c r="R318" s="30"/>
      <c r="S318" s="84"/>
      <c r="T318" s="84"/>
      <c r="U318" s="31" t="s">
        <v>92</v>
      </c>
      <c r="V318" s="32" t="s">
        <v>71</v>
      </c>
      <c r="W318" s="35"/>
      <c r="X318" s="17">
        <v>0</v>
      </c>
      <c r="Y318" s="19">
        <v>0</v>
      </c>
    </row>
    <row r="319" spans="1:25" ht="21" x14ac:dyDescent="0.15">
      <c r="A319" s="26" t="s">
        <v>2056</v>
      </c>
      <c r="B319" s="26">
        <v>14</v>
      </c>
      <c r="C319" s="27" t="s">
        <v>119</v>
      </c>
      <c r="D319" s="26">
        <v>1</v>
      </c>
      <c r="E319" s="27" t="s">
        <v>2150</v>
      </c>
      <c r="F319" s="34" t="b">
        <v>1</v>
      </c>
      <c r="G319" s="29"/>
      <c r="H319" s="30"/>
      <c r="I319" s="34"/>
      <c r="J319" s="29"/>
      <c r="K319" s="29"/>
      <c r="L319" s="29"/>
      <c r="M319" s="29" t="b">
        <v>1</v>
      </c>
      <c r="N319" s="29"/>
      <c r="O319" s="29"/>
      <c r="P319" s="29"/>
      <c r="Q319" s="29"/>
      <c r="R319" s="30"/>
      <c r="S319" s="84" t="s">
        <v>69</v>
      </c>
      <c r="T319" s="84"/>
      <c r="U319" s="31"/>
      <c r="V319" s="32"/>
      <c r="W319" s="35"/>
      <c r="X319" s="17">
        <v>0</v>
      </c>
      <c r="Y319" s="19">
        <v>0</v>
      </c>
    </row>
    <row r="320" spans="1:25" ht="21" x14ac:dyDescent="0.15">
      <c r="A320" s="26" t="s">
        <v>2056</v>
      </c>
      <c r="B320" s="26">
        <v>14</v>
      </c>
      <c r="C320" s="27" t="s">
        <v>119</v>
      </c>
      <c r="D320" s="26">
        <v>1</v>
      </c>
      <c r="E320" s="27" t="s">
        <v>2151</v>
      </c>
      <c r="F320" s="34" t="b">
        <v>1</v>
      </c>
      <c r="G320" s="29"/>
      <c r="H320" s="30"/>
      <c r="I320" s="34"/>
      <c r="J320" s="29"/>
      <c r="K320" s="29"/>
      <c r="L320" s="29"/>
      <c r="M320" s="29" t="b">
        <v>1</v>
      </c>
      <c r="N320" s="29"/>
      <c r="O320" s="29"/>
      <c r="P320" s="29"/>
      <c r="Q320" s="29"/>
      <c r="R320" s="30"/>
      <c r="S320" s="84"/>
      <c r="T320" s="84" t="s">
        <v>91</v>
      </c>
      <c r="U320" s="31"/>
      <c r="V320" s="32"/>
      <c r="W320" s="35"/>
      <c r="X320" s="17">
        <v>0</v>
      </c>
      <c r="Y320" s="19">
        <v>0</v>
      </c>
    </row>
    <row r="321" spans="1:25" ht="28" x14ac:dyDescent="0.15">
      <c r="A321" s="26" t="s">
        <v>2056</v>
      </c>
      <c r="B321" s="26">
        <v>14</v>
      </c>
      <c r="C321" s="27" t="s">
        <v>119</v>
      </c>
      <c r="D321" s="26">
        <v>2</v>
      </c>
      <c r="E321" s="27" t="s">
        <v>2152</v>
      </c>
      <c r="F321" s="34" t="b">
        <v>1</v>
      </c>
      <c r="G321" s="29"/>
      <c r="H321" s="30"/>
      <c r="I321" s="34"/>
      <c r="J321" s="29"/>
      <c r="K321" s="29"/>
      <c r="L321" s="29"/>
      <c r="M321" s="29" t="b">
        <v>1</v>
      </c>
      <c r="N321" s="29"/>
      <c r="O321" s="29"/>
      <c r="P321" s="29"/>
      <c r="Q321" s="29" t="b">
        <v>1</v>
      </c>
      <c r="R321" s="30"/>
      <c r="S321" s="84" t="s">
        <v>69</v>
      </c>
      <c r="T321" s="84"/>
      <c r="U321" s="31" t="s">
        <v>92</v>
      </c>
      <c r="V321" s="32" t="s">
        <v>71</v>
      </c>
      <c r="W321" s="35"/>
      <c r="X321" s="17">
        <v>0</v>
      </c>
      <c r="Y321" s="19">
        <v>0</v>
      </c>
    </row>
    <row r="322" spans="1:25" ht="21" x14ac:dyDescent="0.15">
      <c r="A322" s="26" t="s">
        <v>2056</v>
      </c>
      <c r="B322" s="26">
        <v>14</v>
      </c>
      <c r="C322" s="27" t="s">
        <v>119</v>
      </c>
      <c r="D322" s="26">
        <v>2</v>
      </c>
      <c r="E322" s="27" t="s">
        <v>2153</v>
      </c>
      <c r="F322" s="34" t="b">
        <v>1</v>
      </c>
      <c r="G322" s="29"/>
      <c r="H322" s="30"/>
      <c r="I322" s="34"/>
      <c r="J322" s="29"/>
      <c r="K322" s="29"/>
      <c r="L322" s="29"/>
      <c r="M322" s="29" t="b">
        <v>1</v>
      </c>
      <c r="N322" s="29"/>
      <c r="O322" s="29"/>
      <c r="P322" s="29"/>
      <c r="Q322" s="29" t="b">
        <v>1</v>
      </c>
      <c r="R322" s="30"/>
      <c r="S322" s="84"/>
      <c r="T322" s="84"/>
      <c r="U322" s="31"/>
      <c r="V322" s="32"/>
      <c r="W322" s="35"/>
      <c r="X322" s="17">
        <v>0</v>
      </c>
      <c r="Y322" s="19">
        <v>0</v>
      </c>
    </row>
    <row r="323" spans="1:25" ht="21" x14ac:dyDescent="0.15">
      <c r="A323" s="26" t="s">
        <v>2056</v>
      </c>
      <c r="B323" s="26">
        <v>14</v>
      </c>
      <c r="C323" s="27" t="s">
        <v>119</v>
      </c>
      <c r="D323" s="26">
        <v>2</v>
      </c>
      <c r="E323" s="27" t="s">
        <v>2154</v>
      </c>
      <c r="F323" s="34" t="b">
        <v>1</v>
      </c>
      <c r="G323" s="29"/>
      <c r="H323" s="30"/>
      <c r="I323" s="34"/>
      <c r="J323" s="29"/>
      <c r="K323" s="29"/>
      <c r="L323" s="29"/>
      <c r="M323" s="29" t="b">
        <v>1</v>
      </c>
      <c r="N323" s="29"/>
      <c r="O323" s="29"/>
      <c r="P323" s="29"/>
      <c r="Q323" s="29" t="b">
        <v>1</v>
      </c>
      <c r="R323" s="30"/>
      <c r="S323" s="84"/>
      <c r="T323" s="84"/>
      <c r="U323" s="31" t="s">
        <v>70</v>
      </c>
      <c r="V323" s="32" t="s">
        <v>71</v>
      </c>
      <c r="W323" s="35"/>
      <c r="X323" s="17">
        <v>0</v>
      </c>
      <c r="Y323" s="19">
        <v>0</v>
      </c>
    </row>
    <row r="324" spans="1:25" ht="28" x14ac:dyDescent="0.15">
      <c r="A324" s="26" t="s">
        <v>2056</v>
      </c>
      <c r="B324" s="26">
        <v>14</v>
      </c>
      <c r="C324" s="27" t="s">
        <v>119</v>
      </c>
      <c r="D324" s="26">
        <v>3</v>
      </c>
      <c r="E324" s="27" t="s">
        <v>2155</v>
      </c>
      <c r="F324" s="34" t="b">
        <v>1</v>
      </c>
      <c r="G324" s="29"/>
      <c r="H324" s="30"/>
      <c r="I324" s="34"/>
      <c r="J324" s="29"/>
      <c r="K324" s="29"/>
      <c r="L324" s="29"/>
      <c r="M324" s="29" t="b">
        <v>1</v>
      </c>
      <c r="N324" s="29"/>
      <c r="O324" s="29"/>
      <c r="P324" s="29"/>
      <c r="Q324" s="29"/>
      <c r="R324" s="30"/>
      <c r="S324" s="84" t="s">
        <v>29</v>
      </c>
      <c r="T324" s="84" t="s">
        <v>93</v>
      </c>
      <c r="U324" s="31" t="s">
        <v>92</v>
      </c>
      <c r="V324" s="32" t="s">
        <v>71</v>
      </c>
      <c r="W324" s="35"/>
      <c r="X324" s="17">
        <v>0</v>
      </c>
      <c r="Y324" s="19">
        <v>0</v>
      </c>
    </row>
    <row r="325" spans="1:25" ht="21" x14ac:dyDescent="0.15">
      <c r="A325" s="26" t="s">
        <v>2056</v>
      </c>
      <c r="B325" s="26">
        <v>14</v>
      </c>
      <c r="C325" s="27" t="s">
        <v>119</v>
      </c>
      <c r="D325" s="26">
        <v>3</v>
      </c>
      <c r="E325" s="27" t="s">
        <v>2156</v>
      </c>
      <c r="F325" s="34" t="b">
        <v>1</v>
      </c>
      <c r="G325" s="29"/>
      <c r="H325" s="30"/>
      <c r="I325" s="34"/>
      <c r="J325" s="29"/>
      <c r="K325" s="29"/>
      <c r="L325" s="29"/>
      <c r="M325" s="29" t="b">
        <v>1</v>
      </c>
      <c r="N325" s="29"/>
      <c r="O325" s="29"/>
      <c r="P325" s="29"/>
      <c r="Q325" s="29" t="b">
        <v>1</v>
      </c>
      <c r="R325" s="30"/>
      <c r="S325" s="84"/>
      <c r="T325" s="84" t="s">
        <v>93</v>
      </c>
      <c r="U325" s="31"/>
      <c r="V325" s="32" t="s">
        <v>71</v>
      </c>
      <c r="W325" s="35"/>
      <c r="X325" s="17">
        <v>0</v>
      </c>
      <c r="Y325" s="19">
        <v>0</v>
      </c>
    </row>
    <row r="326" spans="1:25" ht="21" x14ac:dyDescent="0.15">
      <c r="A326" s="26" t="s">
        <v>2056</v>
      </c>
      <c r="B326" s="26">
        <v>14</v>
      </c>
      <c r="C326" s="27" t="s">
        <v>119</v>
      </c>
      <c r="D326" s="26">
        <v>4</v>
      </c>
      <c r="E326" s="27" t="s">
        <v>2157</v>
      </c>
      <c r="F326" s="34" t="b">
        <v>1</v>
      </c>
      <c r="G326" s="29"/>
      <c r="H326" s="30"/>
      <c r="I326" s="34"/>
      <c r="J326" s="29"/>
      <c r="K326" s="29"/>
      <c r="L326" s="29"/>
      <c r="M326" s="29" t="b">
        <v>1</v>
      </c>
      <c r="N326" s="29"/>
      <c r="O326" s="29"/>
      <c r="P326" s="29"/>
      <c r="Q326" s="29" t="b">
        <v>1</v>
      </c>
      <c r="R326" s="30"/>
      <c r="S326" s="84"/>
      <c r="T326" s="84"/>
      <c r="U326" s="31"/>
      <c r="V326" s="32" t="s">
        <v>71</v>
      </c>
      <c r="W326" s="35"/>
      <c r="X326" s="17">
        <v>0</v>
      </c>
      <c r="Y326" s="19">
        <v>0</v>
      </c>
    </row>
    <row r="327" spans="1:25" ht="21" x14ac:dyDescent="0.15">
      <c r="A327" s="15" t="s">
        <v>2056</v>
      </c>
      <c r="B327" s="26">
        <v>14</v>
      </c>
      <c r="C327" s="27" t="s">
        <v>119</v>
      </c>
      <c r="D327" s="26">
        <v>5</v>
      </c>
      <c r="E327" s="28" t="s">
        <v>2157</v>
      </c>
      <c r="F327" s="29" t="b">
        <v>1</v>
      </c>
      <c r="G327" s="29"/>
      <c r="H327" s="30"/>
      <c r="I327" s="29"/>
      <c r="J327" s="29"/>
      <c r="K327" s="29"/>
      <c r="L327" s="29"/>
      <c r="M327" s="29" t="b">
        <v>1</v>
      </c>
      <c r="N327" s="29"/>
      <c r="O327" s="29"/>
      <c r="P327" s="29"/>
      <c r="Q327" s="29" t="b">
        <v>1</v>
      </c>
      <c r="R327" s="30"/>
      <c r="S327" s="84"/>
      <c r="T327" s="84"/>
      <c r="U327" s="31"/>
      <c r="V327" s="32"/>
      <c r="W327" s="33"/>
      <c r="X327" s="17">
        <v>0</v>
      </c>
      <c r="Y327" s="17"/>
    </row>
    <row r="328" spans="1:25" ht="21" x14ac:dyDescent="0.15">
      <c r="A328" s="39" t="s">
        <v>2056</v>
      </c>
      <c r="B328" s="40">
        <v>15</v>
      </c>
      <c r="C328" s="41" t="s">
        <v>126</v>
      </c>
      <c r="D328" s="40">
        <v>1</v>
      </c>
      <c r="E328" s="42" t="s">
        <v>2192</v>
      </c>
      <c r="F328" s="43" t="b">
        <v>1</v>
      </c>
      <c r="G328" s="43" t="b">
        <v>1</v>
      </c>
      <c r="H328" s="44"/>
      <c r="I328" s="43"/>
      <c r="J328" s="43" t="b">
        <v>1</v>
      </c>
      <c r="K328" s="43"/>
      <c r="L328" s="43"/>
      <c r="M328" s="43"/>
      <c r="N328" s="43"/>
      <c r="O328" s="43"/>
      <c r="P328" s="43" t="b">
        <v>1</v>
      </c>
      <c r="Q328" s="43" t="b">
        <v>1</v>
      </c>
      <c r="R328" s="44"/>
      <c r="S328" s="85"/>
      <c r="T328" s="85"/>
      <c r="U328" s="45"/>
      <c r="V328" s="46"/>
      <c r="W328" s="47"/>
      <c r="X328" s="48">
        <v>1</v>
      </c>
      <c r="Y328" s="48"/>
    </row>
    <row r="329" spans="1:25" ht="21" x14ac:dyDescent="0.15">
      <c r="A329" s="39" t="s">
        <v>2056</v>
      </c>
      <c r="B329" s="40">
        <v>15</v>
      </c>
      <c r="C329" s="41" t="s">
        <v>126</v>
      </c>
      <c r="D329" s="40">
        <v>1</v>
      </c>
      <c r="E329" s="42" t="s">
        <v>2194</v>
      </c>
      <c r="F329" s="43" t="b">
        <v>1</v>
      </c>
      <c r="G329" s="43" t="b">
        <v>1</v>
      </c>
      <c r="H329" s="44"/>
      <c r="I329" s="43"/>
      <c r="J329" s="43" t="b">
        <v>1</v>
      </c>
      <c r="K329" s="43"/>
      <c r="L329" s="43" t="b">
        <v>1</v>
      </c>
      <c r="M329" s="43"/>
      <c r="N329" s="43"/>
      <c r="O329" s="43"/>
      <c r="P329" s="43" t="b">
        <v>1</v>
      </c>
      <c r="Q329" s="43"/>
      <c r="R329" s="44"/>
      <c r="S329" s="85"/>
      <c r="T329" s="85"/>
      <c r="U329" s="45"/>
      <c r="V329" s="46"/>
      <c r="W329" s="47"/>
      <c r="X329" s="48">
        <v>1</v>
      </c>
      <c r="Y329" s="48"/>
    </row>
    <row r="330" spans="1:25" ht="21" x14ac:dyDescent="0.15">
      <c r="A330" s="39" t="s">
        <v>2056</v>
      </c>
      <c r="B330" s="40">
        <v>15</v>
      </c>
      <c r="C330" s="41" t="s">
        <v>126</v>
      </c>
      <c r="D330" s="40">
        <v>2</v>
      </c>
      <c r="E330" s="42" t="s">
        <v>2195</v>
      </c>
      <c r="F330" s="43" t="b">
        <v>1</v>
      </c>
      <c r="G330" s="43" t="b">
        <v>1</v>
      </c>
      <c r="H330" s="44"/>
      <c r="I330" s="43"/>
      <c r="J330" s="43"/>
      <c r="K330" s="43"/>
      <c r="L330" s="43" t="b">
        <v>1</v>
      </c>
      <c r="M330" s="43"/>
      <c r="N330" s="43"/>
      <c r="O330" s="43" t="b">
        <v>1</v>
      </c>
      <c r="P330" s="43" t="b">
        <v>1</v>
      </c>
      <c r="Q330" s="43"/>
      <c r="R330" s="44"/>
      <c r="S330" s="85"/>
      <c r="T330" s="85"/>
      <c r="U330" s="45"/>
      <c r="V330" s="46"/>
      <c r="W330" s="47"/>
      <c r="X330" s="48">
        <v>1</v>
      </c>
      <c r="Y330" s="48"/>
    </row>
    <row r="331" spans="1:25" ht="21" x14ac:dyDescent="0.15">
      <c r="A331" s="39" t="s">
        <v>2056</v>
      </c>
      <c r="B331" s="40">
        <v>15</v>
      </c>
      <c r="C331" s="41" t="s">
        <v>126</v>
      </c>
      <c r="D331" s="40">
        <v>2</v>
      </c>
      <c r="E331" s="42" t="s">
        <v>2197</v>
      </c>
      <c r="F331" s="43" t="b">
        <v>1</v>
      </c>
      <c r="G331" s="43" t="b">
        <v>1</v>
      </c>
      <c r="H331" s="44"/>
      <c r="I331" s="43"/>
      <c r="J331" s="43" t="b">
        <v>1</v>
      </c>
      <c r="K331" s="43"/>
      <c r="L331" s="43"/>
      <c r="M331" s="43"/>
      <c r="N331" s="43"/>
      <c r="O331" s="43"/>
      <c r="P331" s="43"/>
      <c r="Q331" s="43" t="b">
        <v>1</v>
      </c>
      <c r="R331" s="44"/>
      <c r="S331" s="85"/>
      <c r="T331" s="85"/>
      <c r="U331" s="45"/>
      <c r="V331" s="46"/>
      <c r="W331" s="47"/>
      <c r="X331" s="48">
        <v>1</v>
      </c>
      <c r="Y331" s="48"/>
    </row>
    <row r="332" spans="1:25" ht="21" x14ac:dyDescent="0.15">
      <c r="A332" s="39" t="s">
        <v>2056</v>
      </c>
      <c r="B332" s="40">
        <v>15</v>
      </c>
      <c r="C332" s="41" t="s">
        <v>126</v>
      </c>
      <c r="D332" s="40">
        <v>3</v>
      </c>
      <c r="E332" s="42" t="s">
        <v>2202</v>
      </c>
      <c r="F332" s="43" t="b">
        <v>1</v>
      </c>
      <c r="G332" s="43" t="b">
        <v>1</v>
      </c>
      <c r="H332" s="44"/>
      <c r="I332" s="43"/>
      <c r="J332" s="43" t="b">
        <v>1</v>
      </c>
      <c r="K332" s="43"/>
      <c r="L332" s="43" t="b">
        <v>1</v>
      </c>
      <c r="M332" s="43"/>
      <c r="N332" s="43"/>
      <c r="O332" s="43"/>
      <c r="P332" s="43" t="b">
        <v>1</v>
      </c>
      <c r="Q332" s="43" t="b">
        <v>1</v>
      </c>
      <c r="R332" s="44"/>
      <c r="S332" s="85"/>
      <c r="T332" s="85"/>
      <c r="U332" s="45"/>
      <c r="V332" s="46"/>
      <c r="W332" s="47"/>
      <c r="X332" s="48">
        <v>1</v>
      </c>
      <c r="Y332" s="48"/>
    </row>
    <row r="333" spans="1:25" ht="21" x14ac:dyDescent="0.15">
      <c r="A333" s="39" t="s">
        <v>2056</v>
      </c>
      <c r="B333" s="40">
        <v>15</v>
      </c>
      <c r="C333" s="41" t="s">
        <v>126</v>
      </c>
      <c r="D333" s="40">
        <v>3</v>
      </c>
      <c r="E333" s="42" t="s">
        <v>2200</v>
      </c>
      <c r="F333" s="43" t="b">
        <v>1</v>
      </c>
      <c r="G333" s="43" t="b">
        <v>1</v>
      </c>
      <c r="H333" s="44"/>
      <c r="I333" s="43"/>
      <c r="J333" s="43" t="b">
        <v>1</v>
      </c>
      <c r="K333" s="43"/>
      <c r="L333" s="43" t="b">
        <v>1</v>
      </c>
      <c r="M333" s="43"/>
      <c r="N333" s="43"/>
      <c r="O333" s="43"/>
      <c r="P333" s="43" t="b">
        <v>1</v>
      </c>
      <c r="Q333" s="43" t="b">
        <v>1</v>
      </c>
      <c r="R333" s="44"/>
      <c r="S333" s="85"/>
      <c r="T333" s="85"/>
      <c r="U333" s="45"/>
      <c r="V333" s="46"/>
      <c r="W333" s="47"/>
      <c r="X333" s="48">
        <v>1</v>
      </c>
      <c r="Y333" s="48"/>
    </row>
    <row r="334" spans="1:25" ht="28" x14ac:dyDescent="0.15">
      <c r="A334" s="39" t="s">
        <v>2056</v>
      </c>
      <c r="B334" s="40">
        <v>15</v>
      </c>
      <c r="C334" s="41" t="s">
        <v>126</v>
      </c>
      <c r="D334" s="40">
        <v>3</v>
      </c>
      <c r="E334" s="42" t="s">
        <v>2198</v>
      </c>
      <c r="F334" s="43" t="b">
        <v>1</v>
      </c>
      <c r="G334" s="43" t="b">
        <v>1</v>
      </c>
      <c r="H334" s="44"/>
      <c r="I334" s="43"/>
      <c r="J334" s="43"/>
      <c r="K334" s="43"/>
      <c r="L334" s="43" t="b">
        <v>1</v>
      </c>
      <c r="M334" s="43"/>
      <c r="N334" s="43"/>
      <c r="O334" s="43"/>
      <c r="P334" s="43" t="b">
        <v>1</v>
      </c>
      <c r="Q334" s="43" t="b">
        <v>1</v>
      </c>
      <c r="R334" s="44"/>
      <c r="S334" s="85"/>
      <c r="T334" s="85"/>
      <c r="U334" s="45"/>
      <c r="V334" s="46"/>
      <c r="W334" s="47"/>
      <c r="X334" s="48">
        <v>1</v>
      </c>
      <c r="Y334" s="48"/>
    </row>
    <row r="335" spans="1:25" ht="21" x14ac:dyDescent="0.15">
      <c r="A335" s="39" t="s">
        <v>2056</v>
      </c>
      <c r="B335" s="40">
        <v>15</v>
      </c>
      <c r="C335" s="41" t="s">
        <v>126</v>
      </c>
      <c r="D335" s="40">
        <v>3</v>
      </c>
      <c r="E335" s="42" t="s">
        <v>2203</v>
      </c>
      <c r="F335" s="43" t="b">
        <v>1</v>
      </c>
      <c r="G335" s="43" t="b">
        <v>1</v>
      </c>
      <c r="H335" s="44"/>
      <c r="I335" s="43"/>
      <c r="J335" s="43" t="b">
        <v>1</v>
      </c>
      <c r="K335" s="43"/>
      <c r="L335" s="43" t="b">
        <v>1</v>
      </c>
      <c r="M335" s="43"/>
      <c r="N335" s="43"/>
      <c r="O335" s="43"/>
      <c r="P335" s="43" t="b">
        <v>1</v>
      </c>
      <c r="Q335" s="43" t="b">
        <v>1</v>
      </c>
      <c r="R335" s="44"/>
      <c r="S335" s="85"/>
      <c r="T335" s="85"/>
      <c r="U335" s="45"/>
      <c r="V335" s="46"/>
      <c r="W335" s="47"/>
      <c r="X335" s="48">
        <v>1</v>
      </c>
      <c r="Y335" s="48"/>
    </row>
    <row r="336" spans="1:25" ht="21" x14ac:dyDescent="0.15">
      <c r="A336" s="39" t="s">
        <v>2056</v>
      </c>
      <c r="B336" s="40">
        <v>15</v>
      </c>
      <c r="C336" s="41" t="s">
        <v>126</v>
      </c>
      <c r="D336" s="40">
        <v>4</v>
      </c>
      <c r="E336" s="42" t="s">
        <v>2205</v>
      </c>
      <c r="F336" s="43" t="b">
        <v>1</v>
      </c>
      <c r="G336" s="43" t="b">
        <v>1</v>
      </c>
      <c r="H336" s="44"/>
      <c r="I336" s="43"/>
      <c r="J336" s="43" t="b">
        <v>1</v>
      </c>
      <c r="K336" s="43"/>
      <c r="L336" s="43" t="b">
        <v>1</v>
      </c>
      <c r="M336" s="43"/>
      <c r="N336" s="43"/>
      <c r="O336" s="43"/>
      <c r="P336" s="43" t="b">
        <v>1</v>
      </c>
      <c r="Q336" s="43" t="b">
        <v>1</v>
      </c>
      <c r="R336" s="44"/>
      <c r="S336" s="85"/>
      <c r="T336" s="85"/>
      <c r="U336" s="45"/>
      <c r="V336" s="46"/>
      <c r="W336" s="47"/>
      <c r="X336" s="48">
        <v>1</v>
      </c>
      <c r="Y336" s="48"/>
    </row>
    <row r="337" spans="1:25" ht="21" x14ac:dyDescent="0.15">
      <c r="A337" s="39" t="s">
        <v>2056</v>
      </c>
      <c r="B337" s="40">
        <v>15</v>
      </c>
      <c r="C337" s="41" t="s">
        <v>126</v>
      </c>
      <c r="D337" s="40">
        <v>4</v>
      </c>
      <c r="E337" s="42" t="s">
        <v>2204</v>
      </c>
      <c r="F337" s="43" t="b">
        <v>1</v>
      </c>
      <c r="G337" s="43" t="b">
        <v>1</v>
      </c>
      <c r="H337" s="44"/>
      <c r="I337" s="43"/>
      <c r="J337" s="43" t="b">
        <v>1</v>
      </c>
      <c r="K337" s="43"/>
      <c r="L337" s="43" t="b">
        <v>1</v>
      </c>
      <c r="M337" s="43"/>
      <c r="N337" s="43"/>
      <c r="O337" s="43"/>
      <c r="P337" s="43" t="b">
        <v>1</v>
      </c>
      <c r="Q337" s="43" t="b">
        <v>1</v>
      </c>
      <c r="R337" s="44"/>
      <c r="S337" s="85"/>
      <c r="T337" s="85"/>
      <c r="U337" s="45"/>
      <c r="V337" s="46"/>
      <c r="W337" s="47"/>
      <c r="X337" s="48">
        <v>1</v>
      </c>
      <c r="Y337" s="48"/>
    </row>
    <row r="338" spans="1:25" ht="21" x14ac:dyDescent="0.15">
      <c r="A338" s="39" t="s">
        <v>2056</v>
      </c>
      <c r="B338" s="40">
        <v>15</v>
      </c>
      <c r="C338" s="41" t="s">
        <v>126</v>
      </c>
      <c r="D338" s="40">
        <v>5</v>
      </c>
      <c r="E338" s="42" t="s">
        <v>2206</v>
      </c>
      <c r="F338" s="43" t="b">
        <v>1</v>
      </c>
      <c r="G338" s="43" t="b">
        <v>1</v>
      </c>
      <c r="H338" s="44"/>
      <c r="I338" s="43"/>
      <c r="J338" s="43"/>
      <c r="K338" s="43"/>
      <c r="L338" s="43" t="b">
        <v>1</v>
      </c>
      <c r="M338" s="43"/>
      <c r="N338" s="43"/>
      <c r="O338" s="43"/>
      <c r="P338" s="43" t="b">
        <v>1</v>
      </c>
      <c r="Q338" s="43" t="b">
        <v>1</v>
      </c>
      <c r="R338" s="44"/>
      <c r="S338" s="85"/>
      <c r="T338" s="85"/>
      <c r="U338" s="45"/>
      <c r="V338" s="46"/>
      <c r="W338" s="47"/>
      <c r="X338" s="48">
        <v>1</v>
      </c>
      <c r="Y338" s="48"/>
    </row>
    <row r="339" spans="1:25" ht="21" x14ac:dyDescent="0.15">
      <c r="A339" s="39" t="s">
        <v>2056</v>
      </c>
      <c r="B339" s="40">
        <v>15</v>
      </c>
      <c r="C339" s="41" t="s">
        <v>126</v>
      </c>
      <c r="D339" s="40">
        <v>5</v>
      </c>
      <c r="E339" s="42" t="s">
        <v>2207</v>
      </c>
      <c r="F339" s="43" t="b">
        <v>1</v>
      </c>
      <c r="G339" s="43" t="b">
        <v>1</v>
      </c>
      <c r="H339" s="44"/>
      <c r="I339" s="43"/>
      <c r="J339" s="43"/>
      <c r="K339" s="43"/>
      <c r="L339" s="43" t="b">
        <v>1</v>
      </c>
      <c r="M339" s="43"/>
      <c r="N339" s="43"/>
      <c r="O339" s="43"/>
      <c r="P339" s="43" t="b">
        <v>1</v>
      </c>
      <c r="Q339" s="43" t="b">
        <v>1</v>
      </c>
      <c r="R339" s="44"/>
      <c r="S339" s="85"/>
      <c r="T339" s="85"/>
      <c r="U339" s="45"/>
      <c r="V339" s="46"/>
      <c r="W339" s="47"/>
      <c r="X339" s="48">
        <v>1</v>
      </c>
      <c r="Y339" s="48"/>
    </row>
    <row r="340" spans="1:25" ht="21" x14ac:dyDescent="0.15">
      <c r="A340" s="39" t="s">
        <v>2056</v>
      </c>
      <c r="B340" s="40">
        <v>15</v>
      </c>
      <c r="C340" s="41" t="s">
        <v>126</v>
      </c>
      <c r="D340" s="40">
        <v>6</v>
      </c>
      <c r="E340" s="42" t="s">
        <v>2208</v>
      </c>
      <c r="F340" s="43" t="b">
        <v>1</v>
      </c>
      <c r="G340" s="43" t="b">
        <v>1</v>
      </c>
      <c r="H340" s="44"/>
      <c r="I340" s="43"/>
      <c r="J340" s="43" t="b">
        <v>1</v>
      </c>
      <c r="K340" s="43"/>
      <c r="L340" s="43" t="b">
        <v>1</v>
      </c>
      <c r="M340" s="43"/>
      <c r="N340" s="43"/>
      <c r="O340" s="43"/>
      <c r="P340" s="43" t="b">
        <v>1</v>
      </c>
      <c r="Q340" s="43" t="b">
        <v>1</v>
      </c>
      <c r="R340" s="44"/>
      <c r="S340" s="85"/>
      <c r="T340" s="85"/>
      <c r="U340" s="45"/>
      <c r="V340" s="46"/>
      <c r="W340" s="47"/>
      <c r="X340" s="48">
        <v>1</v>
      </c>
      <c r="Y340" s="48"/>
    </row>
    <row r="341" spans="1:25" ht="21" x14ac:dyDescent="0.15">
      <c r="A341" s="39" t="s">
        <v>2056</v>
      </c>
      <c r="B341" s="40">
        <v>15</v>
      </c>
      <c r="C341" s="41" t="s">
        <v>126</v>
      </c>
      <c r="D341" s="40">
        <v>6</v>
      </c>
      <c r="E341" s="42" t="s">
        <v>2210</v>
      </c>
      <c r="F341" s="43" t="b">
        <v>1</v>
      </c>
      <c r="G341" s="43" t="b">
        <v>1</v>
      </c>
      <c r="H341" s="44"/>
      <c r="I341" s="43"/>
      <c r="J341" s="43" t="b">
        <v>1</v>
      </c>
      <c r="K341" s="43"/>
      <c r="L341" s="43" t="b">
        <v>1</v>
      </c>
      <c r="M341" s="43"/>
      <c r="N341" s="43"/>
      <c r="O341" s="43"/>
      <c r="P341" s="43" t="b">
        <v>1</v>
      </c>
      <c r="Q341" s="43"/>
      <c r="R341" s="44"/>
      <c r="S341" s="85"/>
      <c r="T341" s="85"/>
      <c r="U341" s="45"/>
      <c r="V341" s="46"/>
      <c r="W341" s="47"/>
      <c r="X341" s="48">
        <v>1</v>
      </c>
      <c r="Y341" s="48"/>
    </row>
    <row r="342" spans="1:25" ht="21" x14ac:dyDescent="0.15">
      <c r="A342" s="39" t="s">
        <v>2056</v>
      </c>
      <c r="B342" s="40">
        <v>15</v>
      </c>
      <c r="C342" s="41" t="s">
        <v>126</v>
      </c>
      <c r="D342" s="40">
        <v>6</v>
      </c>
      <c r="E342" s="42" t="s">
        <v>2209</v>
      </c>
      <c r="F342" s="43" t="b">
        <v>1</v>
      </c>
      <c r="G342" s="43" t="b">
        <v>1</v>
      </c>
      <c r="H342" s="44"/>
      <c r="I342" s="43"/>
      <c r="J342" s="43" t="b">
        <v>1</v>
      </c>
      <c r="K342" s="43"/>
      <c r="L342" s="43" t="b">
        <v>1</v>
      </c>
      <c r="M342" s="43"/>
      <c r="N342" s="43"/>
      <c r="O342" s="43"/>
      <c r="P342" s="43" t="b">
        <v>1</v>
      </c>
      <c r="Q342" s="43"/>
      <c r="R342" s="44"/>
      <c r="S342" s="85"/>
      <c r="T342" s="85"/>
      <c r="U342" s="45"/>
      <c r="V342" s="46"/>
      <c r="W342" s="47"/>
      <c r="X342" s="48">
        <v>1</v>
      </c>
      <c r="Y342" s="48"/>
    </row>
    <row r="343" spans="1:25" ht="28" x14ac:dyDescent="0.15">
      <c r="A343" s="39" t="s">
        <v>2056</v>
      </c>
      <c r="B343" s="40">
        <v>15</v>
      </c>
      <c r="C343" s="41" t="s">
        <v>126</v>
      </c>
      <c r="D343" s="40">
        <v>7</v>
      </c>
      <c r="E343" s="42" t="s">
        <v>2212</v>
      </c>
      <c r="F343" s="43" t="b">
        <v>1</v>
      </c>
      <c r="G343" s="43" t="b">
        <v>1</v>
      </c>
      <c r="H343" s="44"/>
      <c r="I343" s="43"/>
      <c r="J343" s="43" t="b">
        <v>1</v>
      </c>
      <c r="K343" s="43"/>
      <c r="L343" s="43" t="b">
        <v>1</v>
      </c>
      <c r="M343" s="43"/>
      <c r="N343" s="43"/>
      <c r="O343" s="43"/>
      <c r="P343" s="43" t="b">
        <v>1</v>
      </c>
      <c r="Q343" s="43" t="b">
        <v>1</v>
      </c>
      <c r="R343" s="44"/>
      <c r="S343" s="85"/>
      <c r="T343" s="85"/>
      <c r="U343" s="45"/>
      <c r="V343" s="46"/>
      <c r="W343" s="47"/>
      <c r="X343" s="48">
        <v>1</v>
      </c>
      <c r="Y343" s="48"/>
    </row>
    <row r="344" spans="1:25" ht="21" x14ac:dyDescent="0.15">
      <c r="A344" s="39" t="s">
        <v>2056</v>
      </c>
      <c r="B344" s="40">
        <v>15</v>
      </c>
      <c r="C344" s="41" t="s">
        <v>126</v>
      </c>
      <c r="D344" s="40">
        <v>7</v>
      </c>
      <c r="E344" s="42" t="s">
        <v>2211</v>
      </c>
      <c r="F344" s="43" t="b">
        <v>1</v>
      </c>
      <c r="G344" s="43" t="b">
        <v>1</v>
      </c>
      <c r="H344" s="44"/>
      <c r="I344" s="43"/>
      <c r="J344" s="43"/>
      <c r="K344" s="43"/>
      <c r="L344" s="43" t="b">
        <v>1</v>
      </c>
      <c r="M344" s="43"/>
      <c r="N344" s="43"/>
      <c r="O344" s="43"/>
      <c r="P344" s="43"/>
      <c r="Q344" s="43"/>
      <c r="R344" s="44"/>
      <c r="S344" s="85"/>
      <c r="T344" s="85"/>
      <c r="U344" s="45"/>
      <c r="V344" s="46"/>
      <c r="W344" s="47"/>
      <c r="X344" s="48">
        <v>1</v>
      </c>
      <c r="Y344" s="48"/>
    </row>
    <row r="345" spans="1:25" ht="21" x14ac:dyDescent="0.15">
      <c r="A345" s="39" t="s">
        <v>2056</v>
      </c>
      <c r="B345" s="40">
        <v>15</v>
      </c>
      <c r="C345" s="41" t="s">
        <v>126</v>
      </c>
      <c r="D345" s="40">
        <v>8</v>
      </c>
      <c r="E345" s="42" t="s">
        <v>2215</v>
      </c>
      <c r="F345" s="43" t="b">
        <v>1</v>
      </c>
      <c r="G345" s="43" t="b">
        <v>1</v>
      </c>
      <c r="H345" s="44"/>
      <c r="I345" s="43"/>
      <c r="J345" s="43" t="b">
        <v>1</v>
      </c>
      <c r="K345" s="43"/>
      <c r="L345" s="43" t="b">
        <v>1</v>
      </c>
      <c r="M345" s="43"/>
      <c r="N345" s="43"/>
      <c r="O345" s="43"/>
      <c r="P345" s="43" t="b">
        <v>1</v>
      </c>
      <c r="Q345" s="43" t="b">
        <v>1</v>
      </c>
      <c r="R345" s="44"/>
      <c r="S345" s="85"/>
      <c r="T345" s="85"/>
      <c r="U345" s="45"/>
      <c r="V345" s="46"/>
      <c r="W345" s="47"/>
      <c r="X345" s="48">
        <v>1</v>
      </c>
      <c r="Y345" s="48"/>
    </row>
    <row r="346" spans="1:25" ht="21" x14ac:dyDescent="0.15">
      <c r="A346" s="39" t="s">
        <v>2056</v>
      </c>
      <c r="B346" s="40">
        <v>15</v>
      </c>
      <c r="C346" s="41" t="s">
        <v>126</v>
      </c>
      <c r="D346" s="40">
        <v>8</v>
      </c>
      <c r="E346" s="42" t="s">
        <v>2213</v>
      </c>
      <c r="F346" s="43" t="b">
        <v>1</v>
      </c>
      <c r="G346" s="43" t="b">
        <v>1</v>
      </c>
      <c r="H346" s="44"/>
      <c r="I346" s="43"/>
      <c r="J346" s="43" t="b">
        <v>1</v>
      </c>
      <c r="K346" s="43"/>
      <c r="L346" s="43" t="b">
        <v>1</v>
      </c>
      <c r="M346" s="43"/>
      <c r="N346" s="43"/>
      <c r="O346" s="43"/>
      <c r="P346" s="43" t="b">
        <v>1</v>
      </c>
      <c r="Q346" s="43" t="b">
        <v>1</v>
      </c>
      <c r="R346" s="44"/>
      <c r="S346" s="85"/>
      <c r="T346" s="85"/>
      <c r="U346" s="45"/>
      <c r="V346" s="46"/>
      <c r="W346" s="47"/>
      <c r="X346" s="48">
        <v>1</v>
      </c>
      <c r="Y346" s="48"/>
    </row>
    <row r="347" spans="1:25" ht="21" x14ac:dyDescent="0.15">
      <c r="A347" s="39" t="s">
        <v>2056</v>
      </c>
      <c r="B347" s="40">
        <v>15</v>
      </c>
      <c r="C347" s="41" t="s">
        <v>126</v>
      </c>
      <c r="D347" s="40">
        <v>8</v>
      </c>
      <c r="E347" s="42" t="s">
        <v>2214</v>
      </c>
      <c r="F347" s="43" t="b">
        <v>1</v>
      </c>
      <c r="G347" s="43" t="b">
        <v>1</v>
      </c>
      <c r="H347" s="44"/>
      <c r="I347" s="43"/>
      <c r="J347" s="43"/>
      <c r="K347" s="43"/>
      <c r="L347" s="43" t="b">
        <v>1</v>
      </c>
      <c r="M347" s="43"/>
      <c r="N347" s="43"/>
      <c r="O347" s="43"/>
      <c r="P347" s="43"/>
      <c r="Q347" s="43"/>
      <c r="R347" s="44"/>
      <c r="S347" s="85"/>
      <c r="T347" s="85"/>
      <c r="U347" s="45"/>
      <c r="V347" s="46"/>
      <c r="W347" s="47"/>
      <c r="X347" s="48">
        <v>1</v>
      </c>
      <c r="Y347" s="48"/>
    </row>
    <row r="348" spans="1:25" ht="21" x14ac:dyDescent="0.15">
      <c r="A348" s="15" t="s">
        <v>2056</v>
      </c>
      <c r="B348" s="26">
        <v>16</v>
      </c>
      <c r="C348" s="27" t="s">
        <v>127</v>
      </c>
      <c r="D348" s="26">
        <v>1</v>
      </c>
      <c r="E348" s="28" t="s">
        <v>1988</v>
      </c>
      <c r="F348" s="29" t="b">
        <v>1</v>
      </c>
      <c r="G348" s="29" t="b">
        <v>1</v>
      </c>
      <c r="H348" s="30"/>
      <c r="I348" s="29"/>
      <c r="J348" s="29"/>
      <c r="K348" s="29"/>
      <c r="L348" s="29"/>
      <c r="M348" s="29"/>
      <c r="N348" s="29"/>
      <c r="O348" s="29"/>
      <c r="P348" s="29"/>
      <c r="Q348" s="29" t="b">
        <v>1</v>
      </c>
      <c r="R348" s="30"/>
      <c r="S348" s="84"/>
      <c r="T348" s="84"/>
      <c r="U348" s="31"/>
      <c r="V348" s="32"/>
      <c r="W348" s="33"/>
      <c r="X348" s="17">
        <v>0</v>
      </c>
      <c r="Y348" s="17"/>
    </row>
    <row r="349" spans="1:25" ht="21" x14ac:dyDescent="0.15">
      <c r="A349" s="15" t="s">
        <v>2056</v>
      </c>
      <c r="B349" s="26">
        <v>16</v>
      </c>
      <c r="C349" s="27" t="s">
        <v>127</v>
      </c>
      <c r="D349" s="26">
        <v>1</v>
      </c>
      <c r="E349" s="28" t="s">
        <v>1986</v>
      </c>
      <c r="F349" s="29" t="b">
        <v>1</v>
      </c>
      <c r="G349" s="29" t="b">
        <v>1</v>
      </c>
      <c r="H349" s="30"/>
      <c r="I349" s="29"/>
      <c r="J349" s="29"/>
      <c r="K349" s="29"/>
      <c r="L349" s="29"/>
      <c r="M349" s="29"/>
      <c r="N349" s="29"/>
      <c r="O349" s="29"/>
      <c r="P349" s="29"/>
      <c r="Q349" s="29" t="b">
        <v>1</v>
      </c>
      <c r="R349" s="30"/>
      <c r="S349" s="84"/>
      <c r="T349" s="84"/>
      <c r="U349" s="31"/>
      <c r="V349" s="32"/>
      <c r="W349" s="33"/>
      <c r="X349" s="17">
        <v>0</v>
      </c>
      <c r="Y349" s="17"/>
    </row>
    <row r="350" spans="1:25" ht="21" x14ac:dyDescent="0.15">
      <c r="A350" s="15" t="s">
        <v>2056</v>
      </c>
      <c r="B350" s="26">
        <v>16</v>
      </c>
      <c r="C350" s="27" t="s">
        <v>127</v>
      </c>
      <c r="D350" s="26">
        <v>1</v>
      </c>
      <c r="E350" s="28" t="s">
        <v>1989</v>
      </c>
      <c r="F350" s="29" t="b">
        <v>1</v>
      </c>
      <c r="G350" s="29" t="b">
        <v>1</v>
      </c>
      <c r="H350" s="30"/>
      <c r="I350" s="29"/>
      <c r="J350" s="29"/>
      <c r="K350" s="29"/>
      <c r="L350" s="29"/>
      <c r="M350" s="29"/>
      <c r="N350" s="29"/>
      <c r="O350" s="29"/>
      <c r="P350" s="29"/>
      <c r="Q350" s="29" t="b">
        <v>1</v>
      </c>
      <c r="R350" s="30"/>
      <c r="S350" s="84"/>
      <c r="T350" s="84"/>
      <c r="U350" s="31"/>
      <c r="V350" s="32"/>
      <c r="W350" s="33"/>
      <c r="X350" s="17">
        <v>0</v>
      </c>
      <c r="Y350" s="17"/>
    </row>
    <row r="351" spans="1:25" ht="21" x14ac:dyDescent="0.15">
      <c r="A351" s="15" t="s">
        <v>2056</v>
      </c>
      <c r="B351" s="26">
        <v>16</v>
      </c>
      <c r="C351" s="27" t="s">
        <v>127</v>
      </c>
      <c r="D351" s="26">
        <v>1</v>
      </c>
      <c r="E351" s="28" t="s">
        <v>1987</v>
      </c>
      <c r="F351" s="29" t="b">
        <v>1</v>
      </c>
      <c r="G351" s="29" t="b">
        <v>1</v>
      </c>
      <c r="H351" s="30"/>
      <c r="I351" s="29"/>
      <c r="J351" s="29"/>
      <c r="K351" s="29"/>
      <c r="L351" s="29"/>
      <c r="M351" s="29"/>
      <c r="N351" s="29"/>
      <c r="O351" s="29"/>
      <c r="P351" s="29"/>
      <c r="Q351" s="29" t="b">
        <v>1</v>
      </c>
      <c r="R351" s="30"/>
      <c r="S351" s="84"/>
      <c r="T351" s="84"/>
      <c r="U351" s="31"/>
      <c r="V351" s="32"/>
      <c r="W351" s="33"/>
      <c r="X351" s="17">
        <v>0</v>
      </c>
      <c r="Y351" s="17"/>
    </row>
    <row r="352" spans="1:25" ht="21" x14ac:dyDescent="0.15">
      <c r="A352" s="15" t="s">
        <v>2056</v>
      </c>
      <c r="B352" s="26">
        <v>16</v>
      </c>
      <c r="C352" s="27" t="s">
        <v>127</v>
      </c>
      <c r="D352" s="26">
        <v>2</v>
      </c>
      <c r="E352" s="28" t="s">
        <v>1991</v>
      </c>
      <c r="F352" s="29" t="b">
        <v>1</v>
      </c>
      <c r="G352" s="29" t="b">
        <v>1</v>
      </c>
      <c r="H352" s="30"/>
      <c r="I352" s="29"/>
      <c r="J352" s="29"/>
      <c r="K352" s="29"/>
      <c r="L352" s="29"/>
      <c r="M352" s="29"/>
      <c r="N352" s="29"/>
      <c r="O352" s="29"/>
      <c r="P352" s="29"/>
      <c r="Q352" s="29" t="b">
        <v>1</v>
      </c>
      <c r="R352" s="30"/>
      <c r="S352" s="84"/>
      <c r="T352" s="84"/>
      <c r="U352" s="31"/>
      <c r="V352" s="32"/>
      <c r="W352" s="33"/>
      <c r="X352" s="17">
        <v>0</v>
      </c>
      <c r="Y352" s="17"/>
    </row>
    <row r="353" spans="1:25" ht="21" x14ac:dyDescent="0.15">
      <c r="A353" s="15" t="s">
        <v>2056</v>
      </c>
      <c r="B353" s="26">
        <v>16</v>
      </c>
      <c r="C353" s="27" t="s">
        <v>127</v>
      </c>
      <c r="D353" s="26">
        <v>2</v>
      </c>
      <c r="E353" s="28" t="s">
        <v>1990</v>
      </c>
      <c r="F353" s="29" t="b">
        <v>1</v>
      </c>
      <c r="G353" s="29" t="b">
        <v>1</v>
      </c>
      <c r="H353" s="30"/>
      <c r="I353" s="29"/>
      <c r="J353" s="29"/>
      <c r="K353" s="29"/>
      <c r="L353" s="29"/>
      <c r="M353" s="29"/>
      <c r="N353" s="29"/>
      <c r="O353" s="29"/>
      <c r="P353" s="29"/>
      <c r="Q353" s="29" t="b">
        <v>1</v>
      </c>
      <c r="R353" s="30"/>
      <c r="S353" s="84"/>
      <c r="T353" s="84"/>
      <c r="U353" s="31"/>
      <c r="V353" s="32"/>
      <c r="W353" s="33"/>
      <c r="X353" s="17">
        <v>0</v>
      </c>
      <c r="Y353" s="17"/>
    </row>
    <row r="354" spans="1:25" ht="21" x14ac:dyDescent="0.15">
      <c r="A354" s="15" t="s">
        <v>2056</v>
      </c>
      <c r="B354" s="26">
        <v>16</v>
      </c>
      <c r="C354" s="27" t="s">
        <v>127</v>
      </c>
      <c r="D354" s="26">
        <v>2</v>
      </c>
      <c r="E354" s="28" t="s">
        <v>1994</v>
      </c>
      <c r="F354" s="29" t="b">
        <v>1</v>
      </c>
      <c r="G354" s="29" t="b">
        <v>1</v>
      </c>
      <c r="H354" s="30"/>
      <c r="I354" s="29"/>
      <c r="J354" s="29"/>
      <c r="K354" s="29"/>
      <c r="L354" s="29" t="b">
        <v>1</v>
      </c>
      <c r="M354" s="29"/>
      <c r="N354" s="29"/>
      <c r="O354" s="29"/>
      <c r="P354" s="29"/>
      <c r="Q354" s="29" t="b">
        <v>1</v>
      </c>
      <c r="R354" s="30"/>
      <c r="S354" s="84"/>
      <c r="T354" s="84"/>
      <c r="U354" s="31"/>
      <c r="V354" s="32"/>
      <c r="W354" s="33"/>
      <c r="X354" s="17">
        <v>0</v>
      </c>
      <c r="Y354" s="17"/>
    </row>
    <row r="355" spans="1:25" ht="21" x14ac:dyDescent="0.15">
      <c r="A355" s="15" t="s">
        <v>2056</v>
      </c>
      <c r="B355" s="26">
        <v>16</v>
      </c>
      <c r="C355" s="27" t="s">
        <v>127</v>
      </c>
      <c r="D355" s="26">
        <v>2</v>
      </c>
      <c r="E355" s="28" t="s">
        <v>1992</v>
      </c>
      <c r="F355" s="29" t="b">
        <v>1</v>
      </c>
      <c r="G355" s="29" t="b">
        <v>1</v>
      </c>
      <c r="H355" s="30"/>
      <c r="I355" s="29"/>
      <c r="J355" s="29"/>
      <c r="K355" s="29"/>
      <c r="L355" s="29"/>
      <c r="M355" s="29"/>
      <c r="N355" s="29"/>
      <c r="O355" s="29"/>
      <c r="P355" s="29"/>
      <c r="Q355" s="29" t="b">
        <v>1</v>
      </c>
      <c r="R355" s="30"/>
      <c r="S355" s="84"/>
      <c r="T355" s="84"/>
      <c r="U355" s="31"/>
      <c r="V355" s="32"/>
      <c r="W355" s="33"/>
      <c r="X355" s="17">
        <v>0</v>
      </c>
      <c r="Y355" s="17"/>
    </row>
    <row r="356" spans="1:25" ht="21" x14ac:dyDescent="0.15">
      <c r="A356" s="15" t="s">
        <v>2056</v>
      </c>
      <c r="B356" s="26">
        <v>16</v>
      </c>
      <c r="C356" s="27" t="s">
        <v>127</v>
      </c>
      <c r="D356" s="26">
        <v>2</v>
      </c>
      <c r="E356" s="28" t="s">
        <v>1993</v>
      </c>
      <c r="F356" s="29" t="b">
        <v>1</v>
      </c>
      <c r="G356" s="29" t="b">
        <v>1</v>
      </c>
      <c r="H356" s="30"/>
      <c r="I356" s="29"/>
      <c r="J356" s="29"/>
      <c r="K356" s="29"/>
      <c r="L356" s="29"/>
      <c r="M356" s="29"/>
      <c r="N356" s="29"/>
      <c r="O356" s="29"/>
      <c r="P356" s="29"/>
      <c r="Q356" s="29" t="b">
        <v>1</v>
      </c>
      <c r="R356" s="30"/>
      <c r="S356" s="84"/>
      <c r="T356" s="84"/>
      <c r="U356" s="31"/>
      <c r="V356" s="32"/>
      <c r="W356" s="33"/>
      <c r="X356" s="17">
        <v>0</v>
      </c>
      <c r="Y356" s="17"/>
    </row>
    <row r="357" spans="1:25" ht="21" x14ac:dyDescent="0.15">
      <c r="A357" s="15" t="s">
        <v>2056</v>
      </c>
      <c r="B357" s="26">
        <v>16</v>
      </c>
      <c r="C357" s="27" t="s">
        <v>127</v>
      </c>
      <c r="D357" s="26">
        <v>3</v>
      </c>
      <c r="E357" s="28" t="s">
        <v>1998</v>
      </c>
      <c r="F357" s="29" t="b">
        <v>1</v>
      </c>
      <c r="G357" s="29" t="b">
        <v>1</v>
      </c>
      <c r="H357" s="30"/>
      <c r="I357" s="29"/>
      <c r="J357" s="29"/>
      <c r="K357" s="29"/>
      <c r="L357" s="29"/>
      <c r="M357" s="29"/>
      <c r="N357" s="29"/>
      <c r="O357" s="29"/>
      <c r="P357" s="29"/>
      <c r="Q357" s="29" t="b">
        <v>1</v>
      </c>
      <c r="R357" s="30"/>
      <c r="S357" s="84"/>
      <c r="T357" s="84"/>
      <c r="U357" s="31"/>
      <c r="V357" s="32"/>
      <c r="W357" s="33"/>
      <c r="X357" s="17">
        <v>0</v>
      </c>
      <c r="Y357" s="17"/>
    </row>
    <row r="358" spans="1:25" ht="21" x14ac:dyDescent="0.15">
      <c r="A358" s="15" t="s">
        <v>2056</v>
      </c>
      <c r="B358" s="26">
        <v>16</v>
      </c>
      <c r="C358" s="27" t="s">
        <v>127</v>
      </c>
      <c r="D358" s="26">
        <v>3</v>
      </c>
      <c r="E358" s="28" t="s">
        <v>1995</v>
      </c>
      <c r="F358" s="29" t="b">
        <v>1</v>
      </c>
      <c r="G358" s="29" t="b">
        <v>1</v>
      </c>
      <c r="H358" s="30"/>
      <c r="I358" s="29"/>
      <c r="J358" s="29"/>
      <c r="K358" s="29"/>
      <c r="L358" s="29"/>
      <c r="M358" s="29"/>
      <c r="N358" s="29"/>
      <c r="O358" s="29"/>
      <c r="P358" s="29"/>
      <c r="Q358" s="29" t="b">
        <v>1</v>
      </c>
      <c r="R358" s="30"/>
      <c r="S358" s="84"/>
      <c r="T358" s="84"/>
      <c r="U358" s="31"/>
      <c r="V358" s="32"/>
      <c r="W358" s="33"/>
      <c r="X358" s="17">
        <v>0</v>
      </c>
      <c r="Y358" s="17"/>
    </row>
    <row r="359" spans="1:25" ht="21" x14ac:dyDescent="0.15">
      <c r="A359" s="15" t="s">
        <v>2056</v>
      </c>
      <c r="B359" s="26">
        <v>16</v>
      </c>
      <c r="C359" s="27" t="s">
        <v>127</v>
      </c>
      <c r="D359" s="26">
        <v>3</v>
      </c>
      <c r="E359" s="28" t="s">
        <v>1997</v>
      </c>
      <c r="F359" s="29" t="b">
        <v>1</v>
      </c>
      <c r="G359" s="29" t="b">
        <v>1</v>
      </c>
      <c r="H359" s="30"/>
      <c r="I359" s="29"/>
      <c r="J359" s="29"/>
      <c r="K359" s="29"/>
      <c r="L359" s="29"/>
      <c r="M359" s="29"/>
      <c r="N359" s="29"/>
      <c r="O359" s="29"/>
      <c r="P359" s="29"/>
      <c r="Q359" s="29" t="b">
        <v>1</v>
      </c>
      <c r="R359" s="30"/>
      <c r="S359" s="84"/>
      <c r="T359" s="84"/>
      <c r="U359" s="31"/>
      <c r="V359" s="32"/>
      <c r="W359" s="33"/>
      <c r="X359" s="17">
        <v>0</v>
      </c>
      <c r="Y359" s="17"/>
    </row>
    <row r="360" spans="1:25" ht="21" x14ac:dyDescent="0.15">
      <c r="A360" s="15" t="s">
        <v>2056</v>
      </c>
      <c r="B360" s="26">
        <v>16</v>
      </c>
      <c r="C360" s="27" t="s">
        <v>127</v>
      </c>
      <c r="D360" s="26">
        <v>3</v>
      </c>
      <c r="E360" s="28" t="s">
        <v>1996</v>
      </c>
      <c r="F360" s="29" t="b">
        <v>1</v>
      </c>
      <c r="G360" s="29" t="b">
        <v>1</v>
      </c>
      <c r="H360" s="30"/>
      <c r="I360" s="29"/>
      <c r="J360" s="29"/>
      <c r="K360" s="29"/>
      <c r="L360" s="29"/>
      <c r="M360" s="29"/>
      <c r="N360" s="29"/>
      <c r="O360" s="29"/>
      <c r="P360" s="29"/>
      <c r="Q360" s="29" t="b">
        <v>1</v>
      </c>
      <c r="R360" s="30"/>
      <c r="S360" s="84"/>
      <c r="T360" s="84"/>
      <c r="U360" s="31"/>
      <c r="V360" s="32"/>
      <c r="W360" s="33"/>
      <c r="X360" s="17">
        <v>0</v>
      </c>
      <c r="Y360" s="17"/>
    </row>
    <row r="361" spans="1:25" ht="21" x14ac:dyDescent="0.15">
      <c r="A361" s="15" t="s">
        <v>2056</v>
      </c>
      <c r="B361" s="26">
        <v>16</v>
      </c>
      <c r="C361" s="27" t="s">
        <v>127</v>
      </c>
      <c r="D361" s="26">
        <v>4</v>
      </c>
      <c r="E361" s="28" t="s">
        <v>2002</v>
      </c>
      <c r="F361" s="29" t="b">
        <v>1</v>
      </c>
      <c r="G361" s="29" t="b">
        <v>1</v>
      </c>
      <c r="H361" s="30"/>
      <c r="I361" s="29"/>
      <c r="J361" s="29"/>
      <c r="K361" s="29"/>
      <c r="L361" s="29"/>
      <c r="M361" s="29"/>
      <c r="N361" s="29"/>
      <c r="O361" s="29"/>
      <c r="P361" s="29"/>
      <c r="Q361" s="29" t="b">
        <v>1</v>
      </c>
      <c r="R361" s="30"/>
      <c r="S361" s="84"/>
      <c r="T361" s="84"/>
      <c r="U361" s="31"/>
      <c r="V361" s="32"/>
      <c r="W361" s="33"/>
      <c r="X361" s="17">
        <v>0</v>
      </c>
      <c r="Y361" s="17"/>
    </row>
    <row r="362" spans="1:25" ht="21" x14ac:dyDescent="0.15">
      <c r="A362" s="15" t="s">
        <v>2056</v>
      </c>
      <c r="B362" s="26">
        <v>16</v>
      </c>
      <c r="C362" s="27" t="s">
        <v>127</v>
      </c>
      <c r="D362" s="26">
        <v>4</v>
      </c>
      <c r="E362" s="28" t="s">
        <v>1999</v>
      </c>
      <c r="F362" s="29" t="b">
        <v>1</v>
      </c>
      <c r="G362" s="29" t="b">
        <v>1</v>
      </c>
      <c r="H362" s="30"/>
      <c r="I362" s="29"/>
      <c r="J362" s="29"/>
      <c r="K362" s="29"/>
      <c r="L362" s="29"/>
      <c r="M362" s="29"/>
      <c r="N362" s="29"/>
      <c r="O362" s="29"/>
      <c r="P362" s="29"/>
      <c r="Q362" s="29" t="b">
        <v>1</v>
      </c>
      <c r="R362" s="30"/>
      <c r="S362" s="84"/>
      <c r="T362" s="84"/>
      <c r="U362" s="31"/>
      <c r="V362" s="32"/>
      <c r="W362" s="33"/>
      <c r="X362" s="17">
        <v>0</v>
      </c>
      <c r="Y362" s="17"/>
    </row>
    <row r="363" spans="1:25" ht="21" x14ac:dyDescent="0.15">
      <c r="A363" s="15" t="s">
        <v>2056</v>
      </c>
      <c r="B363" s="26">
        <v>16</v>
      </c>
      <c r="C363" s="27" t="s">
        <v>127</v>
      </c>
      <c r="D363" s="26">
        <v>4</v>
      </c>
      <c r="E363" s="28" t="s">
        <v>2000</v>
      </c>
      <c r="F363" s="29" t="b">
        <v>1</v>
      </c>
      <c r="G363" s="29" t="b">
        <v>1</v>
      </c>
      <c r="H363" s="30"/>
      <c r="I363" s="29"/>
      <c r="J363" s="29"/>
      <c r="K363" s="29"/>
      <c r="L363" s="29"/>
      <c r="M363" s="29"/>
      <c r="N363" s="29"/>
      <c r="O363" s="29"/>
      <c r="P363" s="29"/>
      <c r="Q363" s="29" t="b">
        <v>1</v>
      </c>
      <c r="R363" s="30"/>
      <c r="S363" s="84"/>
      <c r="T363" s="84"/>
      <c r="U363" s="31"/>
      <c r="V363" s="32"/>
      <c r="W363" s="33"/>
      <c r="X363" s="17">
        <v>0</v>
      </c>
      <c r="Y363" s="17"/>
    </row>
    <row r="364" spans="1:25" ht="21" x14ac:dyDescent="0.15">
      <c r="A364" s="15" t="s">
        <v>2056</v>
      </c>
      <c r="B364" s="26">
        <v>16</v>
      </c>
      <c r="C364" s="27" t="s">
        <v>127</v>
      </c>
      <c r="D364" s="26">
        <v>4</v>
      </c>
      <c r="E364" s="28" t="s">
        <v>2001</v>
      </c>
      <c r="F364" s="29" t="b">
        <v>1</v>
      </c>
      <c r="G364" s="29" t="b">
        <v>1</v>
      </c>
      <c r="H364" s="30"/>
      <c r="I364" s="29"/>
      <c r="J364" s="29"/>
      <c r="K364" s="29"/>
      <c r="L364" s="29"/>
      <c r="M364" s="29"/>
      <c r="N364" s="29"/>
      <c r="O364" s="29"/>
      <c r="P364" s="29"/>
      <c r="Q364" s="29" t="b">
        <v>1</v>
      </c>
      <c r="R364" s="30"/>
      <c r="S364" s="84"/>
      <c r="T364" s="84"/>
      <c r="U364" s="31"/>
      <c r="V364" s="32"/>
      <c r="W364" s="33"/>
      <c r="X364" s="17">
        <v>0</v>
      </c>
      <c r="Y364" s="17"/>
    </row>
    <row r="365" spans="1:25" ht="21" x14ac:dyDescent="0.15">
      <c r="A365" s="15" t="s">
        <v>2056</v>
      </c>
      <c r="B365" s="26">
        <v>16</v>
      </c>
      <c r="C365" s="27" t="s">
        <v>127</v>
      </c>
      <c r="D365" s="26">
        <v>5</v>
      </c>
      <c r="E365" s="28" t="s">
        <v>2004</v>
      </c>
      <c r="F365" s="29" t="b">
        <v>1</v>
      </c>
      <c r="G365" s="29" t="b">
        <v>1</v>
      </c>
      <c r="H365" s="30"/>
      <c r="I365" s="29"/>
      <c r="J365" s="29"/>
      <c r="K365" s="29"/>
      <c r="L365" s="29"/>
      <c r="M365" s="29"/>
      <c r="N365" s="29"/>
      <c r="O365" s="29"/>
      <c r="P365" s="29"/>
      <c r="Q365" s="29" t="b">
        <v>1</v>
      </c>
      <c r="R365" s="30"/>
      <c r="S365" s="84"/>
      <c r="T365" s="84"/>
      <c r="U365" s="31"/>
      <c r="V365" s="32"/>
      <c r="W365" s="33"/>
      <c r="X365" s="17">
        <v>0</v>
      </c>
      <c r="Y365" s="17"/>
    </row>
    <row r="366" spans="1:25" ht="21" x14ac:dyDescent="0.15">
      <c r="A366" s="15" t="s">
        <v>2056</v>
      </c>
      <c r="B366" s="26">
        <v>16</v>
      </c>
      <c r="C366" s="27" t="s">
        <v>127</v>
      </c>
      <c r="D366" s="26">
        <v>5</v>
      </c>
      <c r="E366" s="28" t="s">
        <v>2003</v>
      </c>
      <c r="F366" s="29" t="b">
        <v>1</v>
      </c>
      <c r="G366" s="29" t="b">
        <v>1</v>
      </c>
      <c r="H366" s="30"/>
      <c r="I366" s="29"/>
      <c r="J366" s="29"/>
      <c r="K366" s="29"/>
      <c r="L366" s="29"/>
      <c r="M366" s="29"/>
      <c r="N366" s="29"/>
      <c r="O366" s="29"/>
      <c r="P366" s="29"/>
      <c r="Q366" s="29" t="b">
        <v>1</v>
      </c>
      <c r="R366" s="30"/>
      <c r="S366" s="84"/>
      <c r="T366" s="84"/>
      <c r="U366" s="31"/>
      <c r="V366" s="32"/>
      <c r="W366" s="33"/>
      <c r="X366" s="17">
        <v>0</v>
      </c>
      <c r="Y366" s="17"/>
    </row>
    <row r="367" spans="1:25" ht="13" x14ac:dyDescent="0.15">
      <c r="A367" s="15"/>
      <c r="B367" s="26"/>
      <c r="C367" s="27"/>
      <c r="D367" s="26"/>
      <c r="E367" s="28"/>
      <c r="F367" s="29"/>
      <c r="G367" s="29"/>
      <c r="H367" s="30"/>
      <c r="I367" s="29"/>
      <c r="J367" s="29"/>
      <c r="K367" s="29"/>
      <c r="L367" s="29"/>
      <c r="M367" s="29"/>
      <c r="N367" s="29"/>
      <c r="O367" s="29"/>
      <c r="P367" s="29"/>
      <c r="Q367" s="29"/>
      <c r="R367" s="30"/>
      <c r="S367" s="84"/>
      <c r="T367" s="84"/>
      <c r="U367" s="31"/>
      <c r="V367" s="32"/>
      <c r="W367" s="33"/>
      <c r="X367" s="17"/>
      <c r="Y367" s="17"/>
    </row>
    <row r="368" spans="1:25" ht="13" x14ac:dyDescent="0.15">
      <c r="A368" s="15"/>
      <c r="B368" s="26"/>
      <c r="C368" s="27"/>
      <c r="D368" s="26"/>
      <c r="E368" s="28"/>
      <c r="F368" s="29"/>
      <c r="G368" s="29"/>
      <c r="H368" s="30"/>
      <c r="I368" s="29"/>
      <c r="J368" s="29"/>
      <c r="K368" s="29"/>
      <c r="L368" s="29"/>
      <c r="M368" s="29"/>
      <c r="N368" s="29"/>
      <c r="O368" s="29"/>
      <c r="P368" s="29"/>
      <c r="Q368" s="29"/>
      <c r="R368" s="30"/>
      <c r="S368" s="84"/>
      <c r="T368" s="84"/>
      <c r="U368" s="31"/>
      <c r="V368" s="32"/>
      <c r="W368" s="33"/>
      <c r="X368" s="17"/>
      <c r="Y368" s="17"/>
    </row>
    <row r="369" spans="1:25" ht="13" x14ac:dyDescent="0.15">
      <c r="A369" s="15"/>
      <c r="B369" s="26"/>
      <c r="C369" s="27"/>
      <c r="D369" s="26"/>
      <c r="E369" s="28"/>
      <c r="F369" s="29"/>
      <c r="G369" s="29"/>
      <c r="H369" s="30"/>
      <c r="I369" s="29"/>
      <c r="J369" s="29"/>
      <c r="K369" s="29"/>
      <c r="L369" s="29"/>
      <c r="M369" s="29"/>
      <c r="N369" s="29"/>
      <c r="O369" s="29"/>
      <c r="P369" s="29"/>
      <c r="Q369" s="29"/>
      <c r="R369" s="30"/>
      <c r="S369" s="84"/>
      <c r="T369" s="84"/>
      <c r="U369" s="31"/>
      <c r="V369" s="32"/>
      <c r="W369" s="33"/>
      <c r="X369" s="17"/>
      <c r="Y369" s="17"/>
    </row>
    <row r="370" spans="1:25" ht="13" x14ac:dyDescent="0.15">
      <c r="A370" s="15"/>
      <c r="B370" s="26"/>
      <c r="C370" s="27"/>
      <c r="D370" s="26"/>
      <c r="E370" s="28"/>
      <c r="F370" s="29"/>
      <c r="G370" s="29"/>
      <c r="H370" s="30"/>
      <c r="I370" s="29"/>
      <c r="J370" s="29"/>
      <c r="K370" s="29"/>
      <c r="L370" s="29"/>
      <c r="M370" s="29"/>
      <c r="N370" s="29"/>
      <c r="O370" s="29"/>
      <c r="P370" s="29"/>
      <c r="Q370" s="29"/>
      <c r="R370" s="30"/>
      <c r="S370" s="84"/>
      <c r="T370" s="84"/>
      <c r="U370" s="31"/>
      <c r="V370" s="32"/>
      <c r="W370" s="33"/>
      <c r="X370" s="17"/>
      <c r="Y370" s="17"/>
    </row>
    <row r="371" spans="1:25" ht="13" x14ac:dyDescent="0.15">
      <c r="A371" s="15"/>
      <c r="B371" s="26"/>
      <c r="C371" s="27"/>
      <c r="D371" s="26"/>
      <c r="E371" s="28"/>
      <c r="F371" s="29"/>
      <c r="G371" s="29"/>
      <c r="H371" s="30"/>
      <c r="I371" s="29"/>
      <c r="J371" s="29"/>
      <c r="K371" s="29"/>
      <c r="L371" s="29"/>
      <c r="M371" s="29"/>
      <c r="N371" s="29"/>
      <c r="O371" s="29"/>
      <c r="P371" s="29"/>
      <c r="Q371" s="29"/>
      <c r="R371" s="30"/>
      <c r="S371" s="84"/>
      <c r="T371" s="84"/>
      <c r="U371" s="31"/>
      <c r="V371" s="32"/>
      <c r="W371" s="33"/>
      <c r="X371" s="17"/>
      <c r="Y371" s="17"/>
    </row>
    <row r="372" spans="1:25" ht="13" x14ac:dyDescent="0.15">
      <c r="A372" s="15"/>
      <c r="B372" s="26"/>
      <c r="C372" s="27"/>
      <c r="D372" s="26"/>
      <c r="E372" s="28"/>
      <c r="F372" s="29"/>
      <c r="G372" s="29"/>
      <c r="H372" s="30"/>
      <c r="I372" s="29"/>
      <c r="J372" s="29"/>
      <c r="K372" s="29"/>
      <c r="L372" s="29"/>
      <c r="M372" s="29"/>
      <c r="N372" s="29"/>
      <c r="O372" s="29"/>
      <c r="P372" s="29"/>
      <c r="Q372" s="29"/>
      <c r="R372" s="30"/>
      <c r="S372" s="84"/>
      <c r="T372" s="84"/>
      <c r="U372" s="31"/>
      <c r="V372" s="32"/>
      <c r="W372" s="33"/>
      <c r="X372" s="17"/>
      <c r="Y372" s="17"/>
    </row>
    <row r="373" spans="1:25" ht="13" x14ac:dyDescent="0.15">
      <c r="A373" s="15"/>
      <c r="B373" s="26"/>
      <c r="C373" s="27"/>
      <c r="D373" s="26"/>
      <c r="E373" s="28"/>
      <c r="F373" s="29"/>
      <c r="G373" s="29"/>
      <c r="H373" s="30"/>
      <c r="I373" s="29"/>
      <c r="J373" s="29"/>
      <c r="K373" s="29"/>
      <c r="L373" s="29"/>
      <c r="M373" s="29"/>
      <c r="N373" s="29"/>
      <c r="O373" s="29"/>
      <c r="P373" s="29"/>
      <c r="Q373" s="29"/>
      <c r="R373" s="30"/>
      <c r="S373" s="84"/>
      <c r="T373" s="84"/>
      <c r="U373" s="31"/>
      <c r="V373" s="32"/>
      <c r="W373" s="33"/>
      <c r="X373" s="17"/>
      <c r="Y373" s="17"/>
    </row>
    <row r="374" spans="1:25" ht="13" x14ac:dyDescent="0.15">
      <c r="A374" s="15"/>
      <c r="B374" s="26"/>
      <c r="C374" s="27"/>
      <c r="D374" s="26"/>
      <c r="E374" s="28"/>
      <c r="F374" s="29"/>
      <c r="G374" s="29"/>
      <c r="H374" s="30"/>
      <c r="I374" s="29"/>
      <c r="J374" s="29"/>
      <c r="K374" s="29"/>
      <c r="L374" s="29"/>
      <c r="M374" s="29"/>
      <c r="N374" s="29"/>
      <c r="O374" s="29"/>
      <c r="P374" s="29"/>
      <c r="Q374" s="29"/>
      <c r="R374" s="30"/>
      <c r="S374" s="84"/>
      <c r="T374" s="84"/>
      <c r="U374" s="31"/>
      <c r="V374" s="32"/>
      <c r="W374" s="33"/>
      <c r="X374" s="17"/>
      <c r="Y374" s="17"/>
    </row>
    <row r="375" spans="1:25" ht="13" x14ac:dyDescent="0.15">
      <c r="A375" s="15"/>
      <c r="B375" s="26"/>
      <c r="C375" s="27"/>
      <c r="D375" s="26"/>
      <c r="E375" s="28"/>
      <c r="F375" s="29"/>
      <c r="G375" s="29"/>
      <c r="H375" s="30"/>
      <c r="I375" s="29"/>
      <c r="J375" s="29"/>
      <c r="K375" s="29"/>
      <c r="L375" s="29"/>
      <c r="M375" s="29"/>
      <c r="N375" s="29"/>
      <c r="O375" s="29"/>
      <c r="P375" s="29"/>
      <c r="Q375" s="29"/>
      <c r="R375" s="30"/>
      <c r="S375" s="84"/>
      <c r="T375" s="84"/>
      <c r="U375" s="31"/>
      <c r="V375" s="32"/>
      <c r="W375" s="33"/>
      <c r="X375" s="17"/>
      <c r="Y375" s="17"/>
    </row>
    <row r="376" spans="1:25" ht="13" x14ac:dyDescent="0.15">
      <c r="A376" s="15"/>
      <c r="B376" s="26"/>
      <c r="C376" s="27"/>
      <c r="D376" s="26"/>
      <c r="E376" s="28"/>
      <c r="F376" s="29"/>
      <c r="G376" s="29"/>
      <c r="H376" s="30"/>
      <c r="I376" s="29"/>
      <c r="J376" s="29"/>
      <c r="K376" s="29"/>
      <c r="L376" s="29"/>
      <c r="M376" s="29"/>
      <c r="N376" s="29"/>
      <c r="O376" s="29"/>
      <c r="P376" s="29"/>
      <c r="Q376" s="29"/>
      <c r="R376" s="30"/>
      <c r="S376" s="84"/>
      <c r="T376" s="84"/>
      <c r="U376" s="31"/>
      <c r="V376" s="32"/>
      <c r="W376" s="33"/>
      <c r="X376" s="17"/>
      <c r="Y376" s="17"/>
    </row>
    <row r="377" spans="1:25" ht="13" x14ac:dyDescent="0.15">
      <c r="A377" s="15"/>
      <c r="B377" s="26"/>
      <c r="C377" s="27"/>
      <c r="D377" s="26"/>
      <c r="E377" s="28"/>
      <c r="F377" s="29"/>
      <c r="G377" s="29"/>
      <c r="H377" s="30"/>
      <c r="I377" s="29"/>
      <c r="J377" s="29"/>
      <c r="K377" s="29"/>
      <c r="L377" s="29"/>
      <c r="M377" s="29"/>
      <c r="N377" s="29"/>
      <c r="O377" s="29"/>
      <c r="P377" s="29"/>
      <c r="Q377" s="29"/>
      <c r="R377" s="30"/>
      <c r="S377" s="84"/>
      <c r="T377" s="84"/>
      <c r="U377" s="31"/>
      <c r="V377" s="32"/>
      <c r="W377" s="33"/>
      <c r="X377" s="17"/>
      <c r="Y377" s="17"/>
    </row>
    <row r="378" spans="1:25" ht="13" x14ac:dyDescent="0.15">
      <c r="A378" s="15"/>
      <c r="B378" s="26"/>
      <c r="C378" s="27"/>
      <c r="D378" s="26"/>
      <c r="E378" s="28"/>
      <c r="F378" s="29"/>
      <c r="G378" s="29"/>
      <c r="H378" s="30"/>
      <c r="I378" s="29"/>
      <c r="J378" s="29"/>
      <c r="K378" s="29"/>
      <c r="L378" s="29"/>
      <c r="M378" s="29"/>
      <c r="N378" s="29"/>
      <c r="O378" s="29"/>
      <c r="P378" s="29"/>
      <c r="Q378" s="29"/>
      <c r="R378" s="30"/>
      <c r="S378" s="84"/>
      <c r="T378" s="84"/>
      <c r="U378" s="31"/>
      <c r="V378" s="32"/>
      <c r="W378" s="33"/>
      <c r="X378" s="17"/>
      <c r="Y378" s="17"/>
    </row>
    <row r="379" spans="1:25" ht="13" x14ac:dyDescent="0.15">
      <c r="A379" s="15"/>
      <c r="B379" s="26"/>
      <c r="C379" s="27"/>
      <c r="D379" s="26"/>
      <c r="E379" s="28"/>
      <c r="F379" s="29"/>
      <c r="G379" s="29"/>
      <c r="H379" s="30"/>
      <c r="I379" s="29"/>
      <c r="J379" s="29"/>
      <c r="K379" s="29"/>
      <c r="L379" s="29"/>
      <c r="M379" s="29"/>
      <c r="N379" s="29"/>
      <c r="O379" s="29"/>
      <c r="P379" s="29"/>
      <c r="Q379" s="29"/>
      <c r="R379" s="30"/>
      <c r="S379" s="84"/>
      <c r="T379" s="84"/>
      <c r="U379" s="31"/>
      <c r="V379" s="32"/>
      <c r="W379" s="33"/>
      <c r="X379" s="17"/>
      <c r="Y379" s="17"/>
    </row>
    <row r="380" spans="1:25" ht="13" x14ac:dyDescent="0.15">
      <c r="A380" s="15"/>
      <c r="B380" s="26"/>
      <c r="C380" s="27"/>
      <c r="D380" s="26"/>
      <c r="E380" s="28"/>
      <c r="F380" s="29"/>
      <c r="G380" s="29"/>
      <c r="H380" s="30"/>
      <c r="I380" s="29"/>
      <c r="J380" s="29"/>
      <c r="K380" s="29"/>
      <c r="L380" s="29"/>
      <c r="M380" s="29"/>
      <c r="N380" s="29"/>
      <c r="O380" s="29"/>
      <c r="P380" s="29"/>
      <c r="Q380" s="29"/>
      <c r="R380" s="30"/>
      <c r="S380" s="84"/>
      <c r="T380" s="84"/>
      <c r="U380" s="31"/>
      <c r="V380" s="32"/>
      <c r="W380" s="33"/>
      <c r="X380" s="17"/>
      <c r="Y380" s="17"/>
    </row>
    <row r="381" spans="1:25" ht="13" x14ac:dyDescent="0.15">
      <c r="A381" s="15"/>
      <c r="B381" s="26"/>
      <c r="C381" s="27"/>
      <c r="D381" s="26"/>
      <c r="E381" s="28"/>
      <c r="F381" s="29"/>
      <c r="G381" s="29"/>
      <c r="H381" s="30"/>
      <c r="I381" s="29"/>
      <c r="J381" s="29"/>
      <c r="K381" s="29"/>
      <c r="L381" s="29"/>
      <c r="M381" s="29"/>
      <c r="N381" s="29"/>
      <c r="O381" s="29"/>
      <c r="P381" s="29"/>
      <c r="Q381" s="29"/>
      <c r="R381" s="30"/>
      <c r="S381" s="84"/>
      <c r="T381" s="84"/>
      <c r="U381" s="31"/>
      <c r="V381" s="32"/>
      <c r="W381" s="33"/>
      <c r="X381" s="17"/>
      <c r="Y381" s="17"/>
    </row>
    <row r="382" spans="1:25" ht="13" x14ac:dyDescent="0.15">
      <c r="A382" s="15"/>
      <c r="B382" s="26"/>
      <c r="C382" s="27"/>
      <c r="D382" s="26"/>
      <c r="E382" s="28"/>
      <c r="F382" s="29"/>
      <c r="G382" s="29"/>
      <c r="H382" s="30"/>
      <c r="I382" s="29"/>
      <c r="J382" s="29"/>
      <c r="K382" s="29"/>
      <c r="L382" s="29"/>
      <c r="M382" s="29"/>
      <c r="N382" s="29"/>
      <c r="O382" s="29"/>
      <c r="P382" s="29"/>
      <c r="Q382" s="29"/>
      <c r="R382" s="30"/>
      <c r="S382" s="84"/>
      <c r="T382" s="84"/>
      <c r="U382" s="31"/>
      <c r="V382" s="32"/>
      <c r="W382" s="33"/>
      <c r="X382" s="17"/>
      <c r="Y382" s="17"/>
    </row>
    <row r="383" spans="1:25" ht="13" x14ac:dyDescent="0.15">
      <c r="A383" s="15"/>
      <c r="B383" s="26"/>
      <c r="C383" s="27"/>
      <c r="D383" s="26"/>
      <c r="E383" s="28"/>
      <c r="F383" s="29"/>
      <c r="G383" s="29"/>
      <c r="H383" s="30"/>
      <c r="I383" s="29"/>
      <c r="J383" s="29"/>
      <c r="K383" s="29"/>
      <c r="L383" s="29"/>
      <c r="M383" s="29"/>
      <c r="N383" s="29"/>
      <c r="O383" s="29"/>
      <c r="P383" s="29"/>
      <c r="Q383" s="29"/>
      <c r="R383" s="30"/>
      <c r="S383" s="84"/>
      <c r="T383" s="84"/>
      <c r="U383" s="31"/>
      <c r="V383" s="32"/>
      <c r="W383" s="33"/>
      <c r="X383" s="17"/>
      <c r="Y383" s="17"/>
    </row>
    <row r="384" spans="1:25" ht="13" x14ac:dyDescent="0.15">
      <c r="A384" s="15"/>
      <c r="B384" s="26"/>
      <c r="C384" s="27"/>
      <c r="D384" s="26"/>
      <c r="E384" s="28"/>
      <c r="F384" s="29"/>
      <c r="G384" s="29"/>
      <c r="H384" s="30"/>
      <c r="I384" s="29"/>
      <c r="J384" s="29"/>
      <c r="K384" s="29"/>
      <c r="L384" s="29"/>
      <c r="M384" s="29"/>
      <c r="N384" s="29"/>
      <c r="O384" s="29"/>
      <c r="P384" s="29"/>
      <c r="Q384" s="29"/>
      <c r="R384" s="30"/>
      <c r="S384" s="84"/>
      <c r="T384" s="84"/>
      <c r="U384" s="31"/>
      <c r="V384" s="32"/>
      <c r="W384" s="33"/>
      <c r="X384" s="17"/>
      <c r="Y384" s="17"/>
    </row>
    <row r="385" spans="1:25" ht="13" x14ac:dyDescent="0.15">
      <c r="A385" s="15"/>
      <c r="B385" s="26"/>
      <c r="C385" s="27"/>
      <c r="D385" s="26"/>
      <c r="E385" s="28"/>
      <c r="F385" s="29"/>
      <c r="G385" s="29"/>
      <c r="H385" s="30"/>
      <c r="I385" s="29"/>
      <c r="J385" s="29"/>
      <c r="K385" s="29"/>
      <c r="L385" s="29"/>
      <c r="M385" s="29"/>
      <c r="N385" s="29"/>
      <c r="O385" s="29"/>
      <c r="P385" s="29"/>
      <c r="Q385" s="29"/>
      <c r="R385" s="30"/>
      <c r="S385" s="84"/>
      <c r="T385" s="84"/>
      <c r="U385" s="31"/>
      <c r="V385" s="32"/>
      <c r="W385" s="33"/>
      <c r="X385" s="17"/>
      <c r="Y385" s="17"/>
    </row>
    <row r="386" spans="1:25" ht="13" x14ac:dyDescent="0.15">
      <c r="A386" s="15"/>
      <c r="B386" s="26"/>
      <c r="C386" s="27"/>
      <c r="D386" s="26"/>
      <c r="E386" s="28"/>
      <c r="F386" s="29"/>
      <c r="G386" s="29"/>
      <c r="H386" s="30"/>
      <c r="I386" s="29"/>
      <c r="J386" s="29"/>
      <c r="K386" s="29"/>
      <c r="L386" s="29"/>
      <c r="M386" s="29"/>
      <c r="N386" s="29"/>
      <c r="O386" s="29"/>
      <c r="P386" s="29"/>
      <c r="Q386" s="29"/>
      <c r="R386" s="30"/>
      <c r="S386" s="84"/>
      <c r="T386" s="84"/>
      <c r="U386" s="31"/>
      <c r="V386" s="32"/>
      <c r="W386" s="33"/>
      <c r="X386" s="17"/>
      <c r="Y386" s="17"/>
    </row>
    <row r="387" spans="1:25" ht="13" x14ac:dyDescent="0.15">
      <c r="A387" s="15"/>
      <c r="B387" s="26"/>
      <c r="C387" s="27"/>
      <c r="D387" s="26"/>
      <c r="E387" s="28"/>
      <c r="F387" s="29"/>
      <c r="G387" s="29"/>
      <c r="H387" s="30"/>
      <c r="I387" s="29"/>
      <c r="J387" s="29"/>
      <c r="K387" s="29"/>
      <c r="L387" s="29"/>
      <c r="M387" s="29"/>
      <c r="N387" s="29"/>
      <c r="O387" s="29"/>
      <c r="P387" s="29"/>
      <c r="Q387" s="29"/>
      <c r="R387" s="30"/>
      <c r="S387" s="84"/>
      <c r="T387" s="84"/>
      <c r="U387" s="31"/>
      <c r="V387" s="32"/>
      <c r="W387" s="33"/>
      <c r="X387" s="17"/>
      <c r="Y387" s="17"/>
    </row>
    <row r="388" spans="1:25" ht="13" x14ac:dyDescent="0.15">
      <c r="A388" s="15"/>
      <c r="B388" s="26"/>
      <c r="C388" s="27"/>
      <c r="D388" s="26"/>
      <c r="E388" s="28"/>
      <c r="F388" s="29"/>
      <c r="G388" s="29"/>
      <c r="H388" s="30"/>
      <c r="I388" s="29"/>
      <c r="J388" s="29"/>
      <c r="K388" s="29"/>
      <c r="L388" s="29"/>
      <c r="M388" s="29"/>
      <c r="N388" s="29"/>
      <c r="O388" s="29"/>
      <c r="P388" s="29"/>
      <c r="Q388" s="29"/>
      <c r="R388" s="30"/>
      <c r="S388" s="84"/>
      <c r="T388" s="84"/>
      <c r="U388" s="31"/>
      <c r="V388" s="32"/>
      <c r="W388" s="33"/>
      <c r="X388" s="17"/>
      <c r="Y388" s="17"/>
    </row>
    <row r="389" spans="1:25" ht="13" x14ac:dyDescent="0.15">
      <c r="A389" s="15"/>
      <c r="B389" s="26"/>
      <c r="C389" s="27"/>
      <c r="D389" s="26"/>
      <c r="E389" s="28"/>
      <c r="F389" s="29"/>
      <c r="G389" s="29"/>
      <c r="H389" s="30"/>
      <c r="I389" s="29"/>
      <c r="J389" s="29"/>
      <c r="K389" s="29"/>
      <c r="L389" s="29"/>
      <c r="M389" s="29"/>
      <c r="N389" s="29"/>
      <c r="O389" s="29"/>
      <c r="P389" s="29"/>
      <c r="Q389" s="29"/>
      <c r="R389" s="30"/>
      <c r="S389" s="84"/>
      <c r="T389" s="84"/>
      <c r="U389" s="31"/>
      <c r="V389" s="32"/>
      <c r="W389" s="33"/>
      <c r="X389" s="17"/>
      <c r="Y389" s="17"/>
    </row>
    <row r="390" spans="1:25" ht="13" x14ac:dyDescent="0.15">
      <c r="A390" s="15"/>
      <c r="B390" s="26"/>
      <c r="C390" s="27"/>
      <c r="D390" s="26"/>
      <c r="E390" s="28"/>
      <c r="F390" s="29"/>
      <c r="G390" s="29"/>
      <c r="H390" s="30"/>
      <c r="I390" s="29"/>
      <c r="J390" s="29"/>
      <c r="K390" s="29"/>
      <c r="L390" s="29"/>
      <c r="M390" s="29"/>
      <c r="N390" s="29"/>
      <c r="O390" s="29"/>
      <c r="P390" s="29"/>
      <c r="Q390" s="29"/>
      <c r="R390" s="30"/>
      <c r="S390" s="84"/>
      <c r="T390" s="84"/>
      <c r="U390" s="31"/>
      <c r="V390" s="32"/>
      <c r="W390" s="33"/>
      <c r="X390" s="17"/>
      <c r="Y390" s="17"/>
    </row>
    <row r="391" spans="1:25" ht="13" x14ac:dyDescent="0.15">
      <c r="A391" s="15"/>
      <c r="B391" s="26"/>
      <c r="C391" s="27"/>
      <c r="D391" s="26"/>
      <c r="E391" s="28"/>
      <c r="F391" s="29"/>
      <c r="G391" s="29"/>
      <c r="H391" s="30"/>
      <c r="I391" s="29"/>
      <c r="J391" s="29"/>
      <c r="K391" s="29"/>
      <c r="L391" s="29"/>
      <c r="M391" s="29"/>
      <c r="N391" s="29"/>
      <c r="O391" s="29"/>
      <c r="P391" s="29"/>
      <c r="Q391" s="29"/>
      <c r="R391" s="30"/>
      <c r="S391" s="84"/>
      <c r="T391" s="84"/>
      <c r="U391" s="31"/>
      <c r="V391" s="32"/>
      <c r="W391" s="33"/>
      <c r="X391" s="17"/>
      <c r="Y391" s="17"/>
    </row>
    <row r="392" spans="1:25" ht="13" x14ac:dyDescent="0.15">
      <c r="A392" s="15"/>
      <c r="B392" s="26"/>
      <c r="C392" s="27"/>
      <c r="D392" s="26"/>
      <c r="E392" s="28"/>
      <c r="F392" s="29"/>
      <c r="G392" s="29"/>
      <c r="H392" s="30"/>
      <c r="I392" s="29"/>
      <c r="J392" s="29"/>
      <c r="K392" s="29"/>
      <c r="L392" s="29"/>
      <c r="M392" s="29"/>
      <c r="N392" s="29"/>
      <c r="O392" s="29"/>
      <c r="P392" s="29"/>
      <c r="Q392" s="29"/>
      <c r="R392" s="30"/>
      <c r="S392" s="84"/>
      <c r="T392" s="84"/>
      <c r="U392" s="31"/>
      <c r="V392" s="32"/>
      <c r="W392" s="33"/>
      <c r="X392" s="17"/>
      <c r="Y392" s="17"/>
    </row>
    <row r="393" spans="1:25" ht="13" x14ac:dyDescent="0.15">
      <c r="A393" s="15"/>
      <c r="B393" s="26"/>
      <c r="C393" s="27"/>
      <c r="D393" s="26"/>
      <c r="E393" s="28"/>
      <c r="F393" s="29"/>
      <c r="G393" s="29"/>
      <c r="H393" s="30"/>
      <c r="I393" s="29"/>
      <c r="J393" s="29"/>
      <c r="K393" s="29"/>
      <c r="L393" s="29"/>
      <c r="M393" s="29"/>
      <c r="N393" s="29"/>
      <c r="O393" s="29"/>
      <c r="P393" s="29"/>
      <c r="Q393" s="29"/>
      <c r="R393" s="30"/>
      <c r="S393" s="84"/>
      <c r="T393" s="84"/>
      <c r="U393" s="31"/>
      <c r="V393" s="32"/>
      <c r="W393" s="33"/>
      <c r="X393" s="17"/>
      <c r="Y393" s="17"/>
    </row>
    <row r="394" spans="1:25" ht="13" x14ac:dyDescent="0.15">
      <c r="A394" s="15"/>
      <c r="B394" s="26"/>
      <c r="C394" s="27"/>
      <c r="D394" s="26"/>
      <c r="E394" s="28"/>
      <c r="F394" s="29"/>
      <c r="G394" s="29"/>
      <c r="H394" s="30"/>
      <c r="I394" s="29"/>
      <c r="J394" s="29"/>
      <c r="K394" s="29"/>
      <c r="L394" s="29"/>
      <c r="M394" s="29"/>
      <c r="N394" s="29"/>
      <c r="O394" s="29"/>
      <c r="P394" s="29"/>
      <c r="Q394" s="29"/>
      <c r="R394" s="30"/>
      <c r="S394" s="84"/>
      <c r="T394" s="84"/>
      <c r="U394" s="31"/>
      <c r="V394" s="32"/>
      <c r="W394" s="33"/>
      <c r="X394" s="17"/>
      <c r="Y394" s="17"/>
    </row>
    <row r="395" spans="1:25" ht="13" x14ac:dyDescent="0.15">
      <c r="A395" s="15"/>
      <c r="B395" s="26"/>
      <c r="C395" s="27"/>
      <c r="D395" s="26"/>
      <c r="E395" s="28"/>
      <c r="F395" s="29"/>
      <c r="G395" s="29"/>
      <c r="H395" s="30"/>
      <c r="I395" s="29"/>
      <c r="J395" s="29"/>
      <c r="K395" s="29"/>
      <c r="L395" s="29"/>
      <c r="M395" s="29"/>
      <c r="N395" s="29"/>
      <c r="O395" s="29"/>
      <c r="P395" s="29"/>
      <c r="Q395" s="29"/>
      <c r="R395" s="30"/>
      <c r="S395" s="84"/>
      <c r="T395" s="84"/>
      <c r="U395" s="31"/>
      <c r="V395" s="32"/>
      <c r="W395" s="33"/>
      <c r="X395" s="17"/>
      <c r="Y395" s="17"/>
    </row>
    <row r="396" spans="1:25" ht="13" x14ac:dyDescent="0.15">
      <c r="A396" s="15"/>
      <c r="B396" s="26"/>
      <c r="C396" s="27"/>
      <c r="D396" s="26"/>
      <c r="E396" s="28"/>
      <c r="F396" s="29"/>
      <c r="G396" s="29"/>
      <c r="H396" s="30"/>
      <c r="I396" s="29"/>
      <c r="J396" s="29"/>
      <c r="K396" s="29"/>
      <c r="L396" s="29"/>
      <c r="M396" s="29"/>
      <c r="N396" s="29"/>
      <c r="O396" s="29"/>
      <c r="P396" s="29"/>
      <c r="Q396" s="29"/>
      <c r="R396" s="30"/>
      <c r="S396" s="84"/>
      <c r="T396" s="84"/>
      <c r="U396" s="31"/>
      <c r="V396" s="32"/>
      <c r="W396" s="33"/>
      <c r="X396" s="17"/>
      <c r="Y396" s="17"/>
    </row>
    <row r="397" spans="1:25" ht="13" x14ac:dyDescent="0.15">
      <c r="A397" s="15"/>
      <c r="B397" s="26"/>
      <c r="C397" s="27"/>
      <c r="D397" s="26"/>
      <c r="E397" s="28"/>
      <c r="F397" s="29"/>
      <c r="G397" s="29"/>
      <c r="H397" s="30"/>
      <c r="I397" s="29"/>
      <c r="J397" s="29"/>
      <c r="K397" s="29"/>
      <c r="L397" s="29"/>
      <c r="M397" s="29"/>
      <c r="N397" s="29"/>
      <c r="O397" s="29"/>
      <c r="P397" s="29"/>
      <c r="Q397" s="29"/>
      <c r="R397" s="30"/>
      <c r="S397" s="84"/>
      <c r="T397" s="84"/>
      <c r="U397" s="31"/>
      <c r="V397" s="32"/>
      <c r="W397" s="33"/>
      <c r="X397" s="17"/>
      <c r="Y397" s="17"/>
    </row>
    <row r="398" spans="1:25" ht="13" x14ac:dyDescent="0.15">
      <c r="A398" s="15"/>
      <c r="B398" s="26"/>
      <c r="C398" s="27"/>
      <c r="D398" s="26"/>
      <c r="E398" s="28"/>
      <c r="F398" s="29"/>
      <c r="G398" s="29"/>
      <c r="H398" s="30"/>
      <c r="I398" s="29"/>
      <c r="J398" s="29"/>
      <c r="K398" s="29"/>
      <c r="L398" s="29"/>
      <c r="M398" s="29"/>
      <c r="N398" s="29"/>
      <c r="O398" s="29"/>
      <c r="P398" s="29"/>
      <c r="Q398" s="29"/>
      <c r="R398" s="30"/>
      <c r="S398" s="84"/>
      <c r="T398" s="84"/>
      <c r="U398" s="31"/>
      <c r="V398" s="32"/>
      <c r="W398" s="33"/>
      <c r="X398" s="17"/>
      <c r="Y398" s="17"/>
    </row>
    <row r="399" spans="1:25" ht="13" x14ac:dyDescent="0.15">
      <c r="A399" s="15"/>
      <c r="B399" s="26"/>
      <c r="C399" s="27"/>
      <c r="D399" s="26"/>
      <c r="E399" s="28"/>
      <c r="F399" s="29"/>
      <c r="G399" s="29"/>
      <c r="H399" s="30"/>
      <c r="I399" s="29"/>
      <c r="J399" s="29"/>
      <c r="K399" s="29"/>
      <c r="L399" s="29"/>
      <c r="M399" s="29"/>
      <c r="N399" s="29"/>
      <c r="O399" s="29"/>
      <c r="P399" s="29"/>
      <c r="Q399" s="29"/>
      <c r="R399" s="30"/>
      <c r="S399" s="84"/>
      <c r="T399" s="84"/>
      <c r="U399" s="31"/>
      <c r="V399" s="32"/>
      <c r="W399" s="33"/>
      <c r="X399" s="17"/>
      <c r="Y399" s="17"/>
    </row>
    <row r="400" spans="1:25" ht="13" x14ac:dyDescent="0.15">
      <c r="A400" s="15"/>
      <c r="B400" s="26"/>
      <c r="C400" s="27"/>
      <c r="D400" s="26"/>
      <c r="E400" s="28"/>
      <c r="F400" s="29"/>
      <c r="G400" s="29"/>
      <c r="H400" s="30"/>
      <c r="I400" s="29"/>
      <c r="J400" s="29"/>
      <c r="K400" s="29"/>
      <c r="L400" s="29"/>
      <c r="M400" s="29"/>
      <c r="N400" s="29"/>
      <c r="O400" s="29"/>
      <c r="P400" s="29"/>
      <c r="Q400" s="29"/>
      <c r="R400" s="30"/>
      <c r="S400" s="84"/>
      <c r="T400" s="84"/>
      <c r="U400" s="31"/>
      <c r="V400" s="32"/>
      <c r="W400" s="33"/>
      <c r="X400" s="17"/>
      <c r="Y400" s="17"/>
    </row>
    <row r="401" spans="1:25" ht="13" x14ac:dyDescent="0.15">
      <c r="A401" s="15"/>
      <c r="B401" s="26"/>
      <c r="C401" s="27"/>
      <c r="D401" s="26"/>
      <c r="E401" s="28"/>
      <c r="F401" s="29"/>
      <c r="G401" s="29"/>
      <c r="H401" s="30"/>
      <c r="I401" s="29"/>
      <c r="J401" s="29"/>
      <c r="K401" s="29"/>
      <c r="L401" s="29"/>
      <c r="M401" s="29"/>
      <c r="N401" s="29"/>
      <c r="O401" s="29"/>
      <c r="P401" s="29"/>
      <c r="Q401" s="29"/>
      <c r="R401" s="30"/>
      <c r="S401" s="84"/>
      <c r="T401" s="84"/>
      <c r="U401" s="31"/>
      <c r="V401" s="32"/>
      <c r="W401" s="33"/>
      <c r="X401" s="17"/>
      <c r="Y401" s="17"/>
    </row>
    <row r="402" spans="1:25" ht="13" x14ac:dyDescent="0.15">
      <c r="A402" s="15"/>
      <c r="B402" s="26"/>
      <c r="C402" s="27"/>
      <c r="D402" s="26"/>
      <c r="E402" s="28"/>
      <c r="F402" s="29"/>
      <c r="G402" s="29"/>
      <c r="H402" s="30"/>
      <c r="I402" s="29"/>
      <c r="J402" s="29"/>
      <c r="K402" s="29"/>
      <c r="L402" s="29"/>
      <c r="M402" s="29"/>
      <c r="N402" s="29"/>
      <c r="O402" s="29"/>
      <c r="P402" s="29"/>
      <c r="Q402" s="29"/>
      <c r="R402" s="30"/>
      <c r="S402" s="84"/>
      <c r="T402" s="84"/>
      <c r="U402" s="31"/>
      <c r="V402" s="32"/>
      <c r="W402" s="33"/>
      <c r="X402" s="17"/>
      <c r="Y402" s="17"/>
    </row>
    <row r="403" spans="1:25" ht="13" x14ac:dyDescent="0.15">
      <c r="A403" s="15"/>
      <c r="B403" s="26"/>
      <c r="C403" s="27"/>
      <c r="D403" s="26"/>
      <c r="E403" s="28"/>
      <c r="F403" s="29"/>
      <c r="G403" s="29"/>
      <c r="H403" s="30"/>
      <c r="I403" s="29"/>
      <c r="J403" s="29"/>
      <c r="K403" s="29"/>
      <c r="L403" s="29"/>
      <c r="M403" s="29"/>
      <c r="N403" s="29"/>
      <c r="O403" s="29"/>
      <c r="P403" s="29"/>
      <c r="Q403" s="29"/>
      <c r="R403" s="30"/>
      <c r="S403" s="84"/>
      <c r="T403" s="84"/>
      <c r="U403" s="31"/>
      <c r="V403" s="32"/>
      <c r="W403" s="33"/>
      <c r="X403" s="17"/>
      <c r="Y403" s="17"/>
    </row>
    <row r="404" spans="1:25" ht="13" x14ac:dyDescent="0.15">
      <c r="A404" s="15"/>
      <c r="B404" s="26"/>
      <c r="C404" s="27"/>
      <c r="D404" s="26"/>
      <c r="E404" s="28"/>
      <c r="F404" s="29"/>
      <c r="G404" s="29"/>
      <c r="H404" s="30"/>
      <c r="I404" s="29"/>
      <c r="J404" s="29"/>
      <c r="K404" s="29"/>
      <c r="L404" s="29"/>
      <c r="M404" s="29"/>
      <c r="N404" s="29"/>
      <c r="O404" s="29"/>
      <c r="P404" s="29"/>
      <c r="Q404" s="29"/>
      <c r="R404" s="30"/>
      <c r="S404" s="84"/>
      <c r="T404" s="84"/>
      <c r="U404" s="31"/>
      <c r="V404" s="32"/>
      <c r="W404" s="33"/>
      <c r="X404" s="17"/>
      <c r="Y404" s="17"/>
    </row>
    <row r="405" spans="1:25" ht="13" x14ac:dyDescent="0.15">
      <c r="A405" s="15"/>
      <c r="B405" s="26"/>
      <c r="C405" s="27"/>
      <c r="D405" s="26"/>
      <c r="E405" s="28"/>
      <c r="F405" s="29"/>
      <c r="G405" s="29"/>
      <c r="H405" s="30"/>
      <c r="I405" s="29"/>
      <c r="J405" s="29"/>
      <c r="K405" s="29"/>
      <c r="L405" s="29"/>
      <c r="M405" s="29"/>
      <c r="N405" s="29"/>
      <c r="O405" s="29"/>
      <c r="P405" s="29"/>
      <c r="Q405" s="29"/>
      <c r="R405" s="30"/>
      <c r="S405" s="84"/>
      <c r="T405" s="84"/>
      <c r="U405" s="31"/>
      <c r="V405" s="32"/>
      <c r="W405" s="33"/>
      <c r="X405" s="17"/>
      <c r="Y405" s="17"/>
    </row>
    <row r="406" spans="1:25" ht="13" x14ac:dyDescent="0.15">
      <c r="A406" s="15"/>
      <c r="B406" s="26"/>
      <c r="C406" s="27"/>
      <c r="D406" s="26"/>
      <c r="E406" s="28"/>
      <c r="F406" s="29"/>
      <c r="G406" s="29"/>
      <c r="H406" s="30"/>
      <c r="I406" s="29"/>
      <c r="J406" s="29"/>
      <c r="K406" s="29"/>
      <c r="L406" s="29"/>
      <c r="M406" s="29"/>
      <c r="N406" s="29"/>
      <c r="O406" s="29"/>
      <c r="P406" s="29"/>
      <c r="Q406" s="29"/>
      <c r="R406" s="30"/>
      <c r="S406" s="84"/>
      <c r="T406" s="84"/>
      <c r="U406" s="31"/>
      <c r="V406" s="32"/>
      <c r="W406" s="33"/>
      <c r="X406" s="17"/>
      <c r="Y406" s="17"/>
    </row>
    <row r="407" spans="1:25" ht="13" x14ac:dyDescent="0.15">
      <c r="A407" s="15"/>
      <c r="B407" s="26"/>
      <c r="C407" s="27"/>
      <c r="D407" s="26"/>
      <c r="E407" s="28"/>
      <c r="F407" s="29"/>
      <c r="G407" s="29"/>
      <c r="H407" s="30"/>
      <c r="I407" s="29"/>
      <c r="J407" s="29"/>
      <c r="K407" s="29"/>
      <c r="L407" s="29"/>
      <c r="M407" s="29"/>
      <c r="N407" s="29"/>
      <c r="O407" s="29"/>
      <c r="P407" s="29"/>
      <c r="Q407" s="29"/>
      <c r="R407" s="30"/>
      <c r="S407" s="84"/>
      <c r="T407" s="84"/>
      <c r="U407" s="31"/>
      <c r="V407" s="32"/>
      <c r="W407" s="33"/>
      <c r="X407" s="17"/>
      <c r="Y407" s="17"/>
    </row>
    <row r="408" spans="1:25" ht="13" x14ac:dyDescent="0.15">
      <c r="A408" s="15"/>
      <c r="B408" s="26"/>
      <c r="C408" s="27"/>
      <c r="D408" s="26"/>
      <c r="E408" s="28"/>
      <c r="F408" s="29"/>
      <c r="G408" s="29"/>
      <c r="H408" s="30"/>
      <c r="I408" s="29"/>
      <c r="J408" s="29"/>
      <c r="K408" s="29"/>
      <c r="L408" s="29"/>
      <c r="M408" s="29"/>
      <c r="N408" s="29"/>
      <c r="O408" s="29"/>
      <c r="P408" s="29"/>
      <c r="Q408" s="29"/>
      <c r="R408" s="30"/>
      <c r="S408" s="84"/>
      <c r="T408" s="84"/>
      <c r="U408" s="31"/>
      <c r="V408" s="32"/>
      <c r="W408" s="33"/>
      <c r="X408" s="17"/>
      <c r="Y408" s="17"/>
    </row>
    <row r="409" spans="1:25" ht="13" x14ac:dyDescent="0.15">
      <c r="A409" s="15"/>
      <c r="B409" s="26"/>
      <c r="C409" s="27"/>
      <c r="D409" s="26"/>
      <c r="E409" s="28"/>
      <c r="F409" s="29"/>
      <c r="G409" s="29"/>
      <c r="H409" s="30"/>
      <c r="I409" s="29"/>
      <c r="J409" s="29"/>
      <c r="K409" s="29"/>
      <c r="L409" s="29"/>
      <c r="M409" s="29"/>
      <c r="N409" s="29"/>
      <c r="O409" s="29"/>
      <c r="P409" s="29"/>
      <c r="Q409" s="29"/>
      <c r="R409" s="30"/>
      <c r="S409" s="84"/>
      <c r="T409" s="84"/>
      <c r="U409" s="31"/>
      <c r="V409" s="32"/>
      <c r="W409" s="33"/>
      <c r="X409" s="17"/>
      <c r="Y409" s="17"/>
    </row>
    <row r="410" spans="1:25" ht="13" x14ac:dyDescent="0.15">
      <c r="A410" s="15"/>
      <c r="B410" s="26"/>
      <c r="C410" s="27"/>
      <c r="D410" s="26"/>
      <c r="E410" s="28"/>
      <c r="F410" s="29"/>
      <c r="G410" s="29"/>
      <c r="H410" s="30"/>
      <c r="I410" s="29"/>
      <c r="J410" s="29"/>
      <c r="K410" s="29"/>
      <c r="L410" s="29"/>
      <c r="M410" s="29"/>
      <c r="N410" s="29"/>
      <c r="O410" s="29"/>
      <c r="P410" s="29"/>
      <c r="Q410" s="29"/>
      <c r="R410" s="30"/>
      <c r="S410" s="84"/>
      <c r="T410" s="84"/>
      <c r="U410" s="31"/>
      <c r="V410" s="32"/>
      <c r="W410" s="33"/>
      <c r="X410" s="17"/>
      <c r="Y410" s="17"/>
    </row>
    <row r="411" spans="1:25" ht="13" x14ac:dyDescent="0.15">
      <c r="A411" s="15"/>
      <c r="B411" s="26"/>
      <c r="C411" s="27"/>
      <c r="D411" s="26"/>
      <c r="E411" s="28"/>
      <c r="F411" s="29"/>
      <c r="G411" s="29"/>
      <c r="H411" s="30"/>
      <c r="I411" s="29"/>
      <c r="J411" s="29"/>
      <c r="K411" s="29"/>
      <c r="L411" s="29"/>
      <c r="M411" s="29"/>
      <c r="N411" s="29"/>
      <c r="O411" s="29"/>
      <c r="P411" s="29"/>
      <c r="Q411" s="29"/>
      <c r="R411" s="30"/>
      <c r="S411" s="84"/>
      <c r="T411" s="84"/>
      <c r="U411" s="31"/>
      <c r="V411" s="32"/>
      <c r="W411" s="33"/>
      <c r="X411" s="17"/>
      <c r="Y411" s="17"/>
    </row>
    <row r="412" spans="1:25" ht="13" x14ac:dyDescent="0.15">
      <c r="A412" s="15"/>
      <c r="B412" s="26"/>
      <c r="C412" s="27"/>
      <c r="D412" s="26"/>
      <c r="E412" s="28"/>
      <c r="F412" s="29"/>
      <c r="G412" s="29"/>
      <c r="H412" s="30"/>
      <c r="I412" s="29"/>
      <c r="J412" s="29"/>
      <c r="K412" s="29"/>
      <c r="L412" s="29"/>
      <c r="M412" s="29"/>
      <c r="N412" s="29"/>
      <c r="O412" s="29"/>
      <c r="P412" s="29"/>
      <c r="Q412" s="29"/>
      <c r="R412" s="30"/>
      <c r="S412" s="84"/>
      <c r="T412" s="84"/>
      <c r="U412" s="31"/>
      <c r="V412" s="32"/>
      <c r="W412" s="33"/>
      <c r="X412" s="17"/>
      <c r="Y412" s="17"/>
    </row>
    <row r="413" spans="1:25" ht="13" x14ac:dyDescent="0.15">
      <c r="A413" s="15"/>
      <c r="B413" s="26"/>
      <c r="C413" s="27"/>
      <c r="D413" s="26"/>
      <c r="E413" s="28"/>
      <c r="F413" s="29"/>
      <c r="G413" s="29"/>
      <c r="H413" s="30"/>
      <c r="I413" s="29"/>
      <c r="J413" s="29"/>
      <c r="K413" s="29"/>
      <c r="L413" s="29"/>
      <c r="M413" s="29"/>
      <c r="N413" s="29"/>
      <c r="O413" s="29"/>
      <c r="P413" s="29"/>
      <c r="Q413" s="29"/>
      <c r="R413" s="30"/>
      <c r="S413" s="84"/>
      <c r="T413" s="84"/>
      <c r="U413" s="31"/>
      <c r="V413" s="32"/>
      <c r="W413" s="33"/>
      <c r="X413" s="17"/>
      <c r="Y413" s="17"/>
    </row>
    <row r="414" spans="1:25" ht="13" x14ac:dyDescent="0.15">
      <c r="A414" s="15"/>
      <c r="B414" s="26"/>
      <c r="C414" s="27"/>
      <c r="D414" s="26"/>
      <c r="E414" s="28"/>
      <c r="F414" s="29"/>
      <c r="G414" s="29"/>
      <c r="H414" s="30"/>
      <c r="I414" s="29"/>
      <c r="J414" s="29"/>
      <c r="K414" s="29"/>
      <c r="L414" s="29"/>
      <c r="M414" s="29"/>
      <c r="N414" s="29"/>
      <c r="O414" s="29"/>
      <c r="P414" s="29"/>
      <c r="Q414" s="29"/>
      <c r="R414" s="30"/>
      <c r="S414" s="84"/>
      <c r="T414" s="84"/>
      <c r="U414" s="31"/>
      <c r="V414" s="32"/>
      <c r="W414" s="33"/>
      <c r="X414" s="17"/>
      <c r="Y414" s="17"/>
    </row>
    <row r="415" spans="1:25" ht="13" x14ac:dyDescent="0.15">
      <c r="A415" s="15"/>
      <c r="B415" s="26"/>
      <c r="C415" s="27"/>
      <c r="D415" s="26"/>
      <c r="E415" s="28"/>
      <c r="F415" s="29"/>
      <c r="G415" s="29"/>
      <c r="H415" s="30"/>
      <c r="I415" s="29"/>
      <c r="J415" s="29"/>
      <c r="K415" s="29"/>
      <c r="L415" s="29"/>
      <c r="M415" s="29"/>
      <c r="N415" s="29"/>
      <c r="O415" s="29"/>
      <c r="P415" s="29"/>
      <c r="Q415" s="29"/>
      <c r="R415" s="30"/>
      <c r="S415" s="84"/>
      <c r="T415" s="84"/>
      <c r="U415" s="31"/>
      <c r="V415" s="32"/>
      <c r="W415" s="33"/>
      <c r="X415" s="17"/>
      <c r="Y415" s="17"/>
    </row>
    <row r="416" spans="1:25" ht="13" x14ac:dyDescent="0.15">
      <c r="A416" s="15"/>
      <c r="B416" s="26"/>
      <c r="C416" s="27"/>
      <c r="D416" s="26"/>
      <c r="E416" s="28"/>
      <c r="F416" s="29"/>
      <c r="G416" s="29"/>
      <c r="H416" s="30"/>
      <c r="I416" s="29"/>
      <c r="J416" s="29"/>
      <c r="K416" s="29"/>
      <c r="L416" s="29"/>
      <c r="M416" s="29"/>
      <c r="N416" s="29"/>
      <c r="O416" s="29"/>
      <c r="P416" s="29"/>
      <c r="Q416" s="29"/>
      <c r="R416" s="30"/>
      <c r="S416" s="84"/>
      <c r="T416" s="84"/>
      <c r="U416" s="31"/>
      <c r="V416" s="32"/>
      <c r="W416" s="33"/>
      <c r="X416" s="17"/>
      <c r="Y416" s="17"/>
    </row>
    <row r="417" spans="1:25" ht="13" x14ac:dyDescent="0.15">
      <c r="A417" s="15"/>
      <c r="B417" s="26"/>
      <c r="C417" s="27"/>
      <c r="D417" s="26"/>
      <c r="E417" s="28"/>
      <c r="F417" s="29"/>
      <c r="G417" s="29"/>
      <c r="H417" s="30"/>
      <c r="I417" s="29"/>
      <c r="J417" s="29"/>
      <c r="K417" s="29"/>
      <c r="L417" s="29"/>
      <c r="M417" s="29"/>
      <c r="N417" s="29"/>
      <c r="O417" s="29"/>
      <c r="P417" s="29"/>
      <c r="Q417" s="29"/>
      <c r="R417" s="30"/>
      <c r="S417" s="84"/>
      <c r="T417" s="84"/>
      <c r="U417" s="31"/>
      <c r="V417" s="32"/>
      <c r="W417" s="33"/>
      <c r="X417" s="17"/>
      <c r="Y417" s="17"/>
    </row>
    <row r="418" spans="1:25" ht="13" x14ac:dyDescent="0.15">
      <c r="A418" s="15"/>
      <c r="B418" s="26"/>
      <c r="C418" s="27"/>
      <c r="D418" s="26"/>
      <c r="E418" s="28"/>
      <c r="F418" s="29"/>
      <c r="G418" s="29"/>
      <c r="H418" s="30"/>
      <c r="I418" s="29"/>
      <c r="J418" s="29"/>
      <c r="K418" s="29"/>
      <c r="L418" s="29"/>
      <c r="M418" s="29"/>
      <c r="N418" s="29"/>
      <c r="O418" s="29"/>
      <c r="P418" s="29"/>
      <c r="Q418" s="29"/>
      <c r="R418" s="30"/>
      <c r="S418" s="84"/>
      <c r="T418" s="84"/>
      <c r="U418" s="31"/>
      <c r="V418" s="32"/>
      <c r="W418" s="33"/>
      <c r="X418" s="17"/>
      <c r="Y418" s="17"/>
    </row>
    <row r="419" spans="1:25" ht="13" x14ac:dyDescent="0.15">
      <c r="A419" s="15"/>
      <c r="B419" s="26"/>
      <c r="C419" s="27"/>
      <c r="D419" s="26"/>
      <c r="E419" s="28"/>
      <c r="F419" s="29"/>
      <c r="G419" s="29"/>
      <c r="H419" s="30"/>
      <c r="I419" s="29"/>
      <c r="J419" s="29"/>
      <c r="K419" s="29"/>
      <c r="L419" s="29"/>
      <c r="M419" s="29"/>
      <c r="N419" s="29"/>
      <c r="O419" s="29"/>
      <c r="P419" s="29"/>
      <c r="Q419" s="29"/>
      <c r="R419" s="30"/>
      <c r="S419" s="84"/>
      <c r="T419" s="84"/>
      <c r="U419" s="31"/>
      <c r="V419" s="32"/>
      <c r="W419" s="33"/>
      <c r="X419" s="17"/>
      <c r="Y419" s="17"/>
    </row>
    <row r="420" spans="1:25" ht="13" x14ac:dyDescent="0.15">
      <c r="A420" s="15"/>
      <c r="B420" s="26"/>
      <c r="C420" s="27"/>
      <c r="D420" s="26"/>
      <c r="E420" s="28"/>
      <c r="F420" s="29"/>
      <c r="G420" s="29"/>
      <c r="H420" s="30"/>
      <c r="I420" s="29"/>
      <c r="J420" s="29"/>
      <c r="K420" s="29"/>
      <c r="L420" s="29"/>
      <c r="M420" s="29"/>
      <c r="N420" s="29"/>
      <c r="O420" s="29"/>
      <c r="P420" s="29"/>
      <c r="Q420" s="29"/>
      <c r="R420" s="30"/>
      <c r="S420" s="84"/>
      <c r="T420" s="84"/>
      <c r="U420" s="31"/>
      <c r="V420" s="32"/>
      <c r="W420" s="33"/>
      <c r="X420" s="17"/>
      <c r="Y420" s="17"/>
    </row>
    <row r="421" spans="1:25" ht="13" x14ac:dyDescent="0.15">
      <c r="A421" s="15"/>
      <c r="B421" s="26"/>
      <c r="C421" s="27"/>
      <c r="D421" s="26"/>
      <c r="E421" s="28"/>
      <c r="F421" s="29"/>
      <c r="G421" s="29"/>
      <c r="H421" s="30"/>
      <c r="I421" s="29"/>
      <c r="J421" s="29"/>
      <c r="K421" s="29"/>
      <c r="L421" s="29"/>
      <c r="M421" s="29"/>
      <c r="N421" s="29"/>
      <c r="O421" s="29"/>
      <c r="P421" s="29"/>
      <c r="Q421" s="29"/>
      <c r="R421" s="30"/>
      <c r="S421" s="84"/>
      <c r="T421" s="84"/>
      <c r="U421" s="31"/>
      <c r="V421" s="32"/>
      <c r="W421" s="33"/>
      <c r="X421" s="17"/>
      <c r="Y421" s="17"/>
    </row>
    <row r="422" spans="1:25" ht="13" x14ac:dyDescent="0.15">
      <c r="A422" s="15"/>
      <c r="B422" s="26"/>
      <c r="C422" s="27"/>
      <c r="D422" s="26"/>
      <c r="E422" s="28"/>
      <c r="F422" s="29"/>
      <c r="G422" s="29"/>
      <c r="H422" s="30"/>
      <c r="I422" s="29"/>
      <c r="J422" s="29"/>
      <c r="K422" s="29"/>
      <c r="L422" s="29"/>
      <c r="M422" s="29"/>
      <c r="N422" s="29"/>
      <c r="O422" s="29"/>
      <c r="P422" s="29"/>
      <c r="Q422" s="29"/>
      <c r="R422" s="30"/>
      <c r="S422" s="84"/>
      <c r="T422" s="84"/>
      <c r="U422" s="31"/>
      <c r="V422" s="32"/>
      <c r="W422" s="33"/>
      <c r="X422" s="17"/>
      <c r="Y422" s="17"/>
    </row>
    <row r="423" spans="1:25" ht="13" x14ac:dyDescent="0.15">
      <c r="A423" s="15"/>
      <c r="B423" s="26"/>
      <c r="C423" s="27"/>
      <c r="D423" s="26"/>
      <c r="E423" s="28"/>
      <c r="F423" s="29"/>
      <c r="G423" s="29"/>
      <c r="H423" s="30"/>
      <c r="I423" s="29"/>
      <c r="J423" s="29"/>
      <c r="K423" s="29"/>
      <c r="L423" s="29"/>
      <c r="M423" s="29"/>
      <c r="N423" s="29"/>
      <c r="O423" s="29"/>
      <c r="P423" s="29"/>
      <c r="Q423" s="29"/>
      <c r="R423" s="30"/>
      <c r="S423" s="84"/>
      <c r="T423" s="84"/>
      <c r="U423" s="31"/>
      <c r="V423" s="32"/>
      <c r="W423" s="33"/>
      <c r="X423" s="17"/>
      <c r="Y423" s="17"/>
    </row>
    <row r="424" spans="1:25" ht="13" x14ac:dyDescent="0.15">
      <c r="A424" s="15"/>
      <c r="B424" s="26"/>
      <c r="C424" s="27"/>
      <c r="D424" s="26"/>
      <c r="E424" s="28"/>
      <c r="F424" s="29"/>
      <c r="G424" s="29"/>
      <c r="H424" s="30"/>
      <c r="I424" s="29"/>
      <c r="J424" s="29"/>
      <c r="K424" s="29"/>
      <c r="L424" s="29"/>
      <c r="M424" s="29"/>
      <c r="N424" s="29"/>
      <c r="O424" s="29"/>
      <c r="P424" s="29"/>
      <c r="Q424" s="29"/>
      <c r="R424" s="30"/>
      <c r="S424" s="84"/>
      <c r="T424" s="84"/>
      <c r="U424" s="31"/>
      <c r="V424" s="32"/>
      <c r="W424" s="33"/>
      <c r="X424" s="17"/>
      <c r="Y424" s="17"/>
    </row>
    <row r="425" spans="1:25" ht="13" x14ac:dyDescent="0.15">
      <c r="A425" s="15"/>
      <c r="B425" s="26"/>
      <c r="C425" s="27"/>
      <c r="D425" s="26"/>
      <c r="E425" s="28"/>
      <c r="F425" s="29"/>
      <c r="G425" s="29"/>
      <c r="H425" s="30"/>
      <c r="I425" s="29"/>
      <c r="J425" s="29"/>
      <c r="K425" s="29"/>
      <c r="L425" s="29"/>
      <c r="M425" s="29"/>
      <c r="N425" s="29"/>
      <c r="O425" s="29"/>
      <c r="P425" s="29"/>
      <c r="Q425" s="29"/>
      <c r="R425" s="30"/>
      <c r="S425" s="84"/>
      <c r="T425" s="84"/>
      <c r="U425" s="31"/>
      <c r="V425" s="32"/>
      <c r="W425" s="33"/>
      <c r="X425" s="17"/>
      <c r="Y425" s="17"/>
    </row>
    <row r="426" spans="1:25" ht="13" x14ac:dyDescent="0.15">
      <c r="A426" s="15"/>
      <c r="B426" s="26"/>
      <c r="C426" s="27"/>
      <c r="D426" s="26"/>
      <c r="E426" s="28"/>
      <c r="F426" s="29"/>
      <c r="G426" s="29"/>
      <c r="H426" s="30"/>
      <c r="I426" s="29"/>
      <c r="J426" s="29"/>
      <c r="K426" s="29"/>
      <c r="L426" s="29"/>
      <c r="M426" s="29"/>
      <c r="N426" s="29"/>
      <c r="O426" s="29"/>
      <c r="P426" s="29"/>
      <c r="Q426" s="29"/>
      <c r="R426" s="30"/>
      <c r="S426" s="84"/>
      <c r="T426" s="84"/>
      <c r="U426" s="31"/>
      <c r="V426" s="32"/>
      <c r="W426" s="33"/>
      <c r="X426" s="17"/>
      <c r="Y426" s="17"/>
    </row>
    <row r="427" spans="1:25" ht="13" x14ac:dyDescent="0.15">
      <c r="A427" s="15"/>
      <c r="B427" s="26"/>
      <c r="C427" s="27"/>
      <c r="D427" s="26"/>
      <c r="E427" s="28"/>
      <c r="F427" s="29"/>
      <c r="G427" s="29"/>
      <c r="H427" s="30"/>
      <c r="I427" s="29"/>
      <c r="J427" s="29"/>
      <c r="K427" s="29"/>
      <c r="L427" s="29"/>
      <c r="M427" s="29"/>
      <c r="N427" s="29"/>
      <c r="O427" s="29"/>
      <c r="P427" s="29"/>
      <c r="Q427" s="29"/>
      <c r="R427" s="30"/>
      <c r="S427" s="84"/>
      <c r="T427" s="84"/>
      <c r="U427" s="31"/>
      <c r="V427" s="32"/>
      <c r="W427" s="33"/>
      <c r="X427" s="17"/>
      <c r="Y427" s="17"/>
    </row>
    <row r="428" spans="1:25" ht="13" x14ac:dyDescent="0.15">
      <c r="A428" s="15"/>
      <c r="B428" s="26"/>
      <c r="C428" s="27"/>
      <c r="D428" s="26"/>
      <c r="E428" s="28"/>
      <c r="F428" s="29"/>
      <c r="G428" s="29"/>
      <c r="H428" s="30"/>
      <c r="I428" s="29"/>
      <c r="J428" s="29"/>
      <c r="K428" s="29"/>
      <c r="L428" s="29"/>
      <c r="M428" s="29"/>
      <c r="N428" s="29"/>
      <c r="O428" s="29"/>
      <c r="P428" s="29"/>
      <c r="Q428" s="29"/>
      <c r="R428" s="30"/>
      <c r="S428" s="84"/>
      <c r="T428" s="84"/>
      <c r="U428" s="31"/>
      <c r="V428" s="32"/>
      <c r="W428" s="33"/>
      <c r="X428" s="17"/>
      <c r="Y428" s="17"/>
    </row>
    <row r="429" spans="1:25" ht="13" x14ac:dyDescent="0.15">
      <c r="A429" s="15"/>
      <c r="B429" s="26"/>
      <c r="C429" s="27"/>
      <c r="D429" s="26"/>
      <c r="E429" s="28"/>
      <c r="F429" s="29"/>
      <c r="G429" s="29"/>
      <c r="H429" s="30"/>
      <c r="I429" s="29"/>
      <c r="J429" s="29"/>
      <c r="K429" s="29"/>
      <c r="L429" s="29"/>
      <c r="M429" s="29"/>
      <c r="N429" s="29"/>
      <c r="O429" s="29"/>
      <c r="P429" s="29"/>
      <c r="Q429" s="29"/>
      <c r="R429" s="30"/>
      <c r="S429" s="84"/>
      <c r="T429" s="84"/>
      <c r="U429" s="31"/>
      <c r="V429" s="32"/>
      <c r="W429" s="33"/>
      <c r="X429" s="17"/>
      <c r="Y429" s="17"/>
    </row>
    <row r="430" spans="1:25" ht="13" x14ac:dyDescent="0.15">
      <c r="A430" s="15"/>
      <c r="B430" s="26"/>
      <c r="C430" s="27"/>
      <c r="D430" s="26"/>
      <c r="E430" s="28"/>
      <c r="F430" s="29"/>
      <c r="G430" s="29"/>
      <c r="H430" s="30"/>
      <c r="I430" s="29"/>
      <c r="J430" s="29"/>
      <c r="K430" s="29"/>
      <c r="L430" s="29"/>
      <c r="M430" s="29"/>
      <c r="N430" s="29"/>
      <c r="O430" s="29"/>
      <c r="P430" s="29"/>
      <c r="Q430" s="29"/>
      <c r="R430" s="30"/>
      <c r="S430" s="84"/>
      <c r="T430" s="84"/>
      <c r="U430" s="31"/>
      <c r="V430" s="32"/>
      <c r="W430" s="33"/>
      <c r="X430" s="17"/>
      <c r="Y430" s="17"/>
    </row>
    <row r="431" spans="1:25" ht="13" x14ac:dyDescent="0.15">
      <c r="A431" s="15"/>
      <c r="B431" s="26"/>
      <c r="C431" s="27"/>
      <c r="D431" s="26"/>
      <c r="E431" s="28"/>
      <c r="F431" s="29"/>
      <c r="G431" s="29"/>
      <c r="H431" s="30"/>
      <c r="I431" s="29"/>
      <c r="J431" s="29"/>
      <c r="K431" s="29"/>
      <c r="L431" s="29"/>
      <c r="M431" s="29"/>
      <c r="N431" s="29"/>
      <c r="O431" s="29"/>
      <c r="P431" s="29"/>
      <c r="Q431" s="29"/>
      <c r="R431" s="30"/>
      <c r="S431" s="84"/>
      <c r="T431" s="84"/>
      <c r="U431" s="31"/>
      <c r="V431" s="32"/>
      <c r="W431" s="33"/>
      <c r="X431" s="17"/>
      <c r="Y431" s="17"/>
    </row>
    <row r="432" spans="1:25" ht="13" x14ac:dyDescent="0.15">
      <c r="A432" s="15"/>
      <c r="B432" s="26"/>
      <c r="C432" s="27"/>
      <c r="D432" s="26"/>
      <c r="E432" s="28"/>
      <c r="F432" s="29"/>
      <c r="G432" s="29"/>
      <c r="H432" s="30"/>
      <c r="I432" s="29"/>
      <c r="J432" s="29"/>
      <c r="K432" s="29"/>
      <c r="L432" s="29"/>
      <c r="M432" s="29"/>
      <c r="N432" s="29"/>
      <c r="O432" s="29"/>
      <c r="P432" s="29"/>
      <c r="Q432" s="29"/>
      <c r="R432" s="30"/>
      <c r="S432" s="84"/>
      <c r="T432" s="84"/>
      <c r="U432" s="31"/>
      <c r="V432" s="32"/>
      <c r="W432" s="33"/>
      <c r="X432" s="17"/>
      <c r="Y432" s="17"/>
    </row>
    <row r="433" spans="1:25" ht="13" x14ac:dyDescent="0.15">
      <c r="A433" s="15"/>
      <c r="B433" s="26"/>
      <c r="C433" s="27"/>
      <c r="D433" s="26"/>
      <c r="E433" s="28"/>
      <c r="F433" s="29"/>
      <c r="G433" s="29"/>
      <c r="H433" s="30"/>
      <c r="I433" s="29"/>
      <c r="J433" s="29"/>
      <c r="K433" s="29"/>
      <c r="L433" s="29"/>
      <c r="M433" s="29"/>
      <c r="N433" s="29"/>
      <c r="O433" s="29"/>
      <c r="P433" s="29"/>
      <c r="Q433" s="29"/>
      <c r="R433" s="30"/>
      <c r="S433" s="84"/>
      <c r="T433" s="84"/>
      <c r="U433" s="31"/>
      <c r="V433" s="32"/>
      <c r="W433" s="33"/>
      <c r="X433" s="17"/>
      <c r="Y433" s="17"/>
    </row>
    <row r="434" spans="1:25" ht="13" x14ac:dyDescent="0.15">
      <c r="A434" s="15"/>
      <c r="B434" s="26"/>
      <c r="C434" s="27"/>
      <c r="D434" s="26"/>
      <c r="E434" s="28"/>
      <c r="F434" s="29"/>
      <c r="G434" s="29"/>
      <c r="H434" s="30"/>
      <c r="I434" s="29"/>
      <c r="J434" s="29"/>
      <c r="K434" s="29"/>
      <c r="L434" s="29"/>
      <c r="M434" s="29"/>
      <c r="N434" s="29"/>
      <c r="O434" s="29"/>
      <c r="P434" s="29"/>
      <c r="Q434" s="29"/>
      <c r="R434" s="30"/>
      <c r="S434" s="84"/>
      <c r="T434" s="84"/>
      <c r="U434" s="31"/>
      <c r="V434" s="32"/>
      <c r="W434" s="33"/>
      <c r="X434" s="17"/>
      <c r="Y434" s="17"/>
    </row>
    <row r="435" spans="1:25" ht="13" x14ac:dyDescent="0.15">
      <c r="A435" s="15"/>
      <c r="B435" s="26"/>
      <c r="C435" s="27"/>
      <c r="D435" s="26"/>
      <c r="E435" s="28"/>
      <c r="F435" s="29"/>
      <c r="G435" s="29"/>
      <c r="H435" s="30"/>
      <c r="I435" s="29"/>
      <c r="J435" s="29"/>
      <c r="K435" s="29"/>
      <c r="L435" s="29"/>
      <c r="M435" s="29"/>
      <c r="N435" s="29"/>
      <c r="O435" s="29"/>
      <c r="P435" s="29"/>
      <c r="Q435" s="29"/>
      <c r="R435" s="30"/>
      <c r="S435" s="84"/>
      <c r="T435" s="84"/>
      <c r="U435" s="31"/>
      <c r="V435" s="32"/>
      <c r="W435" s="33"/>
      <c r="X435" s="17"/>
      <c r="Y435" s="17"/>
    </row>
    <row r="436" spans="1:25" ht="13" x14ac:dyDescent="0.15">
      <c r="A436" s="15"/>
      <c r="B436" s="26"/>
      <c r="C436" s="27"/>
      <c r="D436" s="26"/>
      <c r="E436" s="28"/>
      <c r="F436" s="29"/>
      <c r="G436" s="29"/>
      <c r="H436" s="30"/>
      <c r="I436" s="29"/>
      <c r="J436" s="29"/>
      <c r="K436" s="29"/>
      <c r="L436" s="29"/>
      <c r="M436" s="29"/>
      <c r="N436" s="29"/>
      <c r="O436" s="29"/>
      <c r="P436" s="29"/>
      <c r="Q436" s="29"/>
      <c r="R436" s="30"/>
      <c r="S436" s="84"/>
      <c r="T436" s="84"/>
      <c r="U436" s="31"/>
      <c r="V436" s="32"/>
      <c r="W436" s="33"/>
      <c r="X436" s="17"/>
      <c r="Y436" s="17"/>
    </row>
    <row r="437" spans="1:25" ht="13" x14ac:dyDescent="0.15">
      <c r="A437" s="15"/>
      <c r="B437" s="26"/>
      <c r="C437" s="27"/>
      <c r="D437" s="26"/>
      <c r="E437" s="28"/>
      <c r="F437" s="29"/>
      <c r="G437" s="29"/>
      <c r="H437" s="30"/>
      <c r="I437" s="29"/>
      <c r="J437" s="29"/>
      <c r="K437" s="29"/>
      <c r="L437" s="29"/>
      <c r="M437" s="29"/>
      <c r="N437" s="29"/>
      <c r="O437" s="29"/>
      <c r="P437" s="29"/>
      <c r="Q437" s="29"/>
      <c r="R437" s="30"/>
      <c r="S437" s="84"/>
      <c r="T437" s="84"/>
      <c r="U437" s="31"/>
      <c r="V437" s="32"/>
      <c r="W437" s="33"/>
      <c r="X437" s="17"/>
      <c r="Y437" s="17"/>
    </row>
    <row r="438" spans="1:25" ht="13" x14ac:dyDescent="0.15">
      <c r="A438" s="15"/>
      <c r="B438" s="26"/>
      <c r="C438" s="27"/>
      <c r="D438" s="26"/>
      <c r="E438" s="28"/>
      <c r="F438" s="29"/>
      <c r="G438" s="29"/>
      <c r="H438" s="30"/>
      <c r="I438" s="29"/>
      <c r="J438" s="29"/>
      <c r="K438" s="29"/>
      <c r="L438" s="29"/>
      <c r="M438" s="29"/>
      <c r="N438" s="29"/>
      <c r="O438" s="29"/>
      <c r="P438" s="29"/>
      <c r="Q438" s="29"/>
      <c r="R438" s="30"/>
      <c r="S438" s="84"/>
      <c r="T438" s="84"/>
      <c r="U438" s="31"/>
      <c r="V438" s="32"/>
      <c r="W438" s="33"/>
      <c r="X438" s="17"/>
      <c r="Y438" s="17"/>
    </row>
    <row r="439" spans="1:25" ht="13" x14ac:dyDescent="0.15">
      <c r="A439" s="15"/>
      <c r="B439" s="26"/>
      <c r="C439" s="27"/>
      <c r="D439" s="26"/>
      <c r="E439" s="28"/>
      <c r="F439" s="29"/>
      <c r="G439" s="29"/>
      <c r="H439" s="30"/>
      <c r="I439" s="29"/>
      <c r="J439" s="29"/>
      <c r="K439" s="29"/>
      <c r="L439" s="29"/>
      <c r="M439" s="29"/>
      <c r="N439" s="29"/>
      <c r="O439" s="29"/>
      <c r="P439" s="29"/>
      <c r="Q439" s="29"/>
      <c r="R439" s="30"/>
      <c r="S439" s="84"/>
      <c r="T439" s="84"/>
      <c r="U439" s="31"/>
      <c r="V439" s="32"/>
      <c r="W439" s="33"/>
      <c r="X439" s="17"/>
      <c r="Y439" s="17"/>
    </row>
    <row r="440" spans="1:25" ht="13" x14ac:dyDescent="0.15">
      <c r="A440" s="15"/>
      <c r="B440" s="26"/>
      <c r="C440" s="27"/>
      <c r="D440" s="26"/>
      <c r="E440" s="28"/>
      <c r="F440" s="29"/>
      <c r="G440" s="29"/>
      <c r="H440" s="30"/>
      <c r="I440" s="29"/>
      <c r="J440" s="29"/>
      <c r="K440" s="29"/>
      <c r="L440" s="29"/>
      <c r="M440" s="29"/>
      <c r="N440" s="29"/>
      <c r="O440" s="29"/>
      <c r="P440" s="29"/>
      <c r="Q440" s="29"/>
      <c r="R440" s="30"/>
      <c r="S440" s="84"/>
      <c r="T440" s="84"/>
      <c r="U440" s="31"/>
      <c r="V440" s="32"/>
      <c r="W440" s="33"/>
      <c r="X440" s="17"/>
      <c r="Y440" s="17"/>
    </row>
    <row r="441" spans="1:25" ht="13" x14ac:dyDescent="0.15">
      <c r="A441" s="15"/>
      <c r="B441" s="26"/>
      <c r="C441" s="27"/>
      <c r="D441" s="26"/>
      <c r="E441" s="28"/>
      <c r="F441" s="29"/>
      <c r="G441" s="29"/>
      <c r="H441" s="30"/>
      <c r="I441" s="29"/>
      <c r="J441" s="29"/>
      <c r="K441" s="29"/>
      <c r="L441" s="29"/>
      <c r="M441" s="29"/>
      <c r="N441" s="29"/>
      <c r="O441" s="29"/>
      <c r="P441" s="29"/>
      <c r="Q441" s="29"/>
      <c r="R441" s="30"/>
      <c r="S441" s="84"/>
      <c r="T441" s="84"/>
      <c r="U441" s="31"/>
      <c r="V441" s="32"/>
      <c r="W441" s="33"/>
      <c r="X441" s="17"/>
      <c r="Y441" s="17"/>
    </row>
    <row r="442" spans="1:25" ht="13" x14ac:dyDescent="0.15">
      <c r="A442" s="15"/>
      <c r="B442" s="26"/>
      <c r="C442" s="27"/>
      <c r="D442" s="26"/>
      <c r="E442" s="28"/>
      <c r="F442" s="29"/>
      <c r="G442" s="29"/>
      <c r="H442" s="30"/>
      <c r="I442" s="29"/>
      <c r="J442" s="29"/>
      <c r="K442" s="29"/>
      <c r="L442" s="29"/>
      <c r="M442" s="29"/>
      <c r="N442" s="29"/>
      <c r="O442" s="29"/>
      <c r="P442" s="29"/>
      <c r="Q442" s="29"/>
      <c r="R442" s="30"/>
      <c r="S442" s="84"/>
      <c r="T442" s="84"/>
      <c r="U442" s="31"/>
      <c r="V442" s="32"/>
      <c r="W442" s="33"/>
      <c r="X442" s="17"/>
      <c r="Y442" s="17"/>
    </row>
    <row r="443" spans="1:25" ht="13" x14ac:dyDescent="0.15">
      <c r="A443" s="15"/>
      <c r="B443" s="26"/>
      <c r="C443" s="27"/>
      <c r="D443" s="26"/>
      <c r="E443" s="28"/>
      <c r="F443" s="29"/>
      <c r="G443" s="29"/>
      <c r="H443" s="30"/>
      <c r="I443" s="29"/>
      <c r="J443" s="29"/>
      <c r="K443" s="29"/>
      <c r="L443" s="29"/>
      <c r="M443" s="29"/>
      <c r="N443" s="29"/>
      <c r="O443" s="29"/>
      <c r="P443" s="29"/>
      <c r="Q443" s="29"/>
      <c r="R443" s="30"/>
      <c r="S443" s="84"/>
      <c r="T443" s="84"/>
      <c r="U443" s="31"/>
      <c r="V443" s="32"/>
      <c r="W443" s="33"/>
      <c r="X443" s="17"/>
      <c r="Y443" s="17"/>
    </row>
    <row r="444" spans="1:25" ht="13" x14ac:dyDescent="0.15">
      <c r="A444" s="15"/>
      <c r="B444" s="26"/>
      <c r="C444" s="27"/>
      <c r="D444" s="26"/>
      <c r="E444" s="28"/>
      <c r="F444" s="29"/>
      <c r="G444" s="29"/>
      <c r="H444" s="30"/>
      <c r="I444" s="29"/>
      <c r="J444" s="29"/>
      <c r="K444" s="29"/>
      <c r="L444" s="29"/>
      <c r="M444" s="29"/>
      <c r="N444" s="29"/>
      <c r="O444" s="29"/>
      <c r="P444" s="29"/>
      <c r="Q444" s="29"/>
      <c r="R444" s="30"/>
      <c r="S444" s="84"/>
      <c r="T444" s="84"/>
      <c r="U444" s="31"/>
      <c r="V444" s="32"/>
      <c r="W444" s="33"/>
      <c r="X444" s="17"/>
      <c r="Y444" s="17"/>
    </row>
    <row r="445" spans="1:25" ht="13" x14ac:dyDescent="0.15">
      <c r="A445" s="15"/>
      <c r="B445" s="26"/>
      <c r="C445" s="27"/>
      <c r="D445" s="26"/>
      <c r="E445" s="28"/>
      <c r="F445" s="29"/>
      <c r="G445" s="29"/>
      <c r="H445" s="30"/>
      <c r="I445" s="29"/>
      <c r="J445" s="29"/>
      <c r="K445" s="29"/>
      <c r="L445" s="29"/>
      <c r="M445" s="29"/>
      <c r="N445" s="29"/>
      <c r="O445" s="29"/>
      <c r="P445" s="29"/>
      <c r="Q445" s="29"/>
      <c r="R445" s="30"/>
      <c r="S445" s="84"/>
      <c r="T445" s="84"/>
      <c r="U445" s="31"/>
      <c r="V445" s="32"/>
      <c r="W445" s="33"/>
      <c r="X445" s="17"/>
      <c r="Y445" s="17"/>
    </row>
    <row r="446" spans="1:25" ht="13" x14ac:dyDescent="0.15">
      <c r="A446" s="15"/>
      <c r="B446" s="26"/>
      <c r="C446" s="27"/>
      <c r="D446" s="26"/>
      <c r="E446" s="28"/>
      <c r="F446" s="29"/>
      <c r="G446" s="29"/>
      <c r="H446" s="30"/>
      <c r="I446" s="29"/>
      <c r="J446" s="29"/>
      <c r="K446" s="29"/>
      <c r="L446" s="29"/>
      <c r="M446" s="29"/>
      <c r="N446" s="29"/>
      <c r="O446" s="29"/>
      <c r="P446" s="29"/>
      <c r="Q446" s="29"/>
      <c r="R446" s="30"/>
      <c r="S446" s="84"/>
      <c r="T446" s="84"/>
      <c r="U446" s="31"/>
      <c r="V446" s="32"/>
      <c r="W446" s="33"/>
      <c r="X446" s="17"/>
      <c r="Y446" s="17"/>
    </row>
    <row r="447" spans="1:25" ht="13" x14ac:dyDescent="0.15">
      <c r="A447" s="15"/>
      <c r="B447" s="26"/>
      <c r="C447" s="27"/>
      <c r="D447" s="26"/>
      <c r="E447" s="28"/>
      <c r="F447" s="29"/>
      <c r="G447" s="29"/>
      <c r="H447" s="30"/>
      <c r="I447" s="29"/>
      <c r="J447" s="29"/>
      <c r="K447" s="29"/>
      <c r="L447" s="29"/>
      <c r="M447" s="29"/>
      <c r="N447" s="29"/>
      <c r="O447" s="29"/>
      <c r="P447" s="29"/>
      <c r="Q447" s="29"/>
      <c r="R447" s="30"/>
      <c r="S447" s="84"/>
      <c r="T447" s="84"/>
      <c r="U447" s="31"/>
      <c r="V447" s="32"/>
      <c r="W447" s="33"/>
      <c r="X447" s="17"/>
      <c r="Y447" s="17"/>
    </row>
    <row r="448" spans="1:25" ht="13" x14ac:dyDescent="0.15">
      <c r="A448" s="15"/>
      <c r="B448" s="26"/>
      <c r="C448" s="27"/>
      <c r="D448" s="26"/>
      <c r="E448" s="28"/>
      <c r="F448" s="29"/>
      <c r="G448" s="29"/>
      <c r="H448" s="30"/>
      <c r="I448" s="29"/>
      <c r="J448" s="29"/>
      <c r="K448" s="29"/>
      <c r="L448" s="29"/>
      <c r="M448" s="29"/>
      <c r="N448" s="29"/>
      <c r="O448" s="29"/>
      <c r="P448" s="29"/>
      <c r="Q448" s="29"/>
      <c r="R448" s="30"/>
      <c r="S448" s="84"/>
      <c r="T448" s="84"/>
      <c r="U448" s="31"/>
      <c r="V448" s="32"/>
      <c r="W448" s="33"/>
      <c r="X448" s="17"/>
      <c r="Y448" s="17"/>
    </row>
    <row r="449" spans="1:25" ht="13" x14ac:dyDescent="0.15">
      <c r="A449" s="15"/>
      <c r="B449" s="26"/>
      <c r="C449" s="27"/>
      <c r="D449" s="26"/>
      <c r="E449" s="28"/>
      <c r="F449" s="29"/>
      <c r="G449" s="29"/>
      <c r="H449" s="30"/>
      <c r="I449" s="29"/>
      <c r="J449" s="29"/>
      <c r="K449" s="29"/>
      <c r="L449" s="29"/>
      <c r="M449" s="29"/>
      <c r="N449" s="29"/>
      <c r="O449" s="29"/>
      <c r="P449" s="29"/>
      <c r="Q449" s="29"/>
      <c r="R449" s="30"/>
      <c r="S449" s="84"/>
      <c r="T449" s="84"/>
      <c r="U449" s="31"/>
      <c r="V449" s="32"/>
      <c r="W449" s="33"/>
      <c r="X449" s="17"/>
      <c r="Y449" s="17"/>
    </row>
    <row r="450" spans="1:25" ht="13" x14ac:dyDescent="0.15">
      <c r="A450" s="15"/>
      <c r="B450" s="26"/>
      <c r="C450" s="27"/>
      <c r="D450" s="26"/>
      <c r="E450" s="28"/>
      <c r="F450" s="29"/>
      <c r="G450" s="29"/>
      <c r="H450" s="30"/>
      <c r="I450" s="29"/>
      <c r="J450" s="29"/>
      <c r="K450" s="29"/>
      <c r="L450" s="29"/>
      <c r="M450" s="29"/>
      <c r="N450" s="29"/>
      <c r="O450" s="29"/>
      <c r="P450" s="29"/>
      <c r="Q450" s="29"/>
      <c r="R450" s="30"/>
      <c r="S450" s="84"/>
      <c r="T450" s="84"/>
      <c r="U450" s="31"/>
      <c r="V450" s="32"/>
      <c r="W450" s="33"/>
      <c r="X450" s="17"/>
      <c r="Y450" s="17"/>
    </row>
    <row r="451" spans="1:25" ht="13" x14ac:dyDescent="0.15">
      <c r="A451" s="15"/>
      <c r="B451" s="26"/>
      <c r="C451" s="27"/>
      <c r="D451" s="26"/>
      <c r="E451" s="28"/>
      <c r="F451" s="29"/>
      <c r="G451" s="29"/>
      <c r="H451" s="30"/>
      <c r="I451" s="29"/>
      <c r="J451" s="29"/>
      <c r="K451" s="29"/>
      <c r="L451" s="29"/>
      <c r="M451" s="29"/>
      <c r="N451" s="29"/>
      <c r="O451" s="29"/>
      <c r="P451" s="29"/>
      <c r="Q451" s="29"/>
      <c r="R451" s="30"/>
      <c r="S451" s="84"/>
      <c r="T451" s="84"/>
      <c r="U451" s="31"/>
      <c r="V451" s="32"/>
      <c r="W451" s="33"/>
      <c r="X451" s="17"/>
      <c r="Y451" s="17"/>
    </row>
    <row r="452" spans="1:25" ht="13" x14ac:dyDescent="0.15">
      <c r="A452" s="15"/>
      <c r="B452" s="26"/>
      <c r="C452" s="27"/>
      <c r="D452" s="26"/>
      <c r="E452" s="28"/>
      <c r="F452" s="29"/>
      <c r="G452" s="29"/>
      <c r="H452" s="30"/>
      <c r="I452" s="29"/>
      <c r="J452" s="29"/>
      <c r="K452" s="29"/>
      <c r="L452" s="29"/>
      <c r="M452" s="29"/>
      <c r="N452" s="29"/>
      <c r="O452" s="29"/>
      <c r="P452" s="29"/>
      <c r="Q452" s="29"/>
      <c r="R452" s="30"/>
      <c r="S452" s="84"/>
      <c r="T452" s="84"/>
      <c r="U452" s="31"/>
      <c r="V452" s="32"/>
      <c r="W452" s="33"/>
      <c r="X452" s="17"/>
      <c r="Y452" s="17"/>
    </row>
    <row r="453" spans="1:25" ht="13" x14ac:dyDescent="0.15">
      <c r="A453" s="15"/>
      <c r="B453" s="26"/>
      <c r="C453" s="27"/>
      <c r="D453" s="26"/>
      <c r="E453" s="28"/>
      <c r="F453" s="29"/>
      <c r="G453" s="29"/>
      <c r="H453" s="30"/>
      <c r="I453" s="29"/>
      <c r="J453" s="29"/>
      <c r="K453" s="29"/>
      <c r="L453" s="29"/>
      <c r="M453" s="29"/>
      <c r="N453" s="29"/>
      <c r="O453" s="29"/>
      <c r="P453" s="29"/>
      <c r="Q453" s="29"/>
      <c r="R453" s="30"/>
      <c r="S453" s="84"/>
      <c r="T453" s="84"/>
      <c r="U453" s="31"/>
      <c r="V453" s="32"/>
      <c r="W453" s="33"/>
      <c r="X453" s="17"/>
      <c r="Y453" s="17"/>
    </row>
    <row r="454" spans="1:25" ht="13" x14ac:dyDescent="0.15">
      <c r="A454" s="15"/>
      <c r="B454" s="26"/>
      <c r="C454" s="27"/>
      <c r="D454" s="26"/>
      <c r="E454" s="28"/>
      <c r="F454" s="29"/>
      <c r="G454" s="29"/>
      <c r="H454" s="30"/>
      <c r="I454" s="29"/>
      <c r="J454" s="29"/>
      <c r="K454" s="29"/>
      <c r="L454" s="29"/>
      <c r="M454" s="29"/>
      <c r="N454" s="29"/>
      <c r="O454" s="29"/>
      <c r="P454" s="29"/>
      <c r="Q454" s="29"/>
      <c r="R454" s="30"/>
      <c r="S454" s="84"/>
      <c r="T454" s="84"/>
      <c r="U454" s="31"/>
      <c r="V454" s="32"/>
      <c r="W454" s="33"/>
      <c r="X454" s="17"/>
      <c r="Y454" s="17"/>
    </row>
    <row r="455" spans="1:25" ht="13" x14ac:dyDescent="0.15">
      <c r="A455" s="15"/>
      <c r="B455" s="26"/>
      <c r="C455" s="27"/>
      <c r="D455" s="26"/>
      <c r="E455" s="28"/>
      <c r="F455" s="29"/>
      <c r="G455" s="29"/>
      <c r="H455" s="30"/>
      <c r="I455" s="29"/>
      <c r="J455" s="29"/>
      <c r="K455" s="29"/>
      <c r="L455" s="29"/>
      <c r="M455" s="29"/>
      <c r="N455" s="29"/>
      <c r="O455" s="29"/>
      <c r="P455" s="29"/>
      <c r="Q455" s="29"/>
      <c r="R455" s="30"/>
      <c r="S455" s="84"/>
      <c r="T455" s="84"/>
      <c r="U455" s="31"/>
      <c r="V455" s="32"/>
      <c r="W455" s="33"/>
      <c r="X455" s="17"/>
      <c r="Y455" s="17"/>
    </row>
    <row r="456" spans="1:25" ht="13" x14ac:dyDescent="0.15">
      <c r="A456" s="15"/>
      <c r="B456" s="26"/>
      <c r="C456" s="27"/>
      <c r="D456" s="26"/>
      <c r="E456" s="28"/>
      <c r="F456" s="29"/>
      <c r="G456" s="29"/>
      <c r="H456" s="30"/>
      <c r="I456" s="29"/>
      <c r="J456" s="29"/>
      <c r="K456" s="29"/>
      <c r="L456" s="29"/>
      <c r="M456" s="29"/>
      <c r="N456" s="29"/>
      <c r="O456" s="29"/>
      <c r="P456" s="29"/>
      <c r="Q456" s="29"/>
      <c r="R456" s="30"/>
      <c r="S456" s="84"/>
      <c r="T456" s="84"/>
      <c r="U456" s="31"/>
      <c r="V456" s="32"/>
      <c r="W456" s="33"/>
      <c r="X456" s="17"/>
      <c r="Y456" s="17"/>
    </row>
    <row r="457" spans="1:25" ht="13" x14ac:dyDescent="0.15">
      <c r="A457" s="15"/>
      <c r="B457" s="26"/>
      <c r="C457" s="27"/>
      <c r="D457" s="26"/>
      <c r="E457" s="28"/>
      <c r="F457" s="29"/>
      <c r="G457" s="29"/>
      <c r="H457" s="30"/>
      <c r="I457" s="29"/>
      <c r="J457" s="29"/>
      <c r="K457" s="29"/>
      <c r="L457" s="29"/>
      <c r="M457" s="29"/>
      <c r="N457" s="29"/>
      <c r="O457" s="29"/>
      <c r="P457" s="29"/>
      <c r="Q457" s="29"/>
      <c r="R457" s="30"/>
      <c r="S457" s="84"/>
      <c r="T457" s="84"/>
      <c r="U457" s="31"/>
      <c r="V457" s="32"/>
      <c r="W457" s="33"/>
      <c r="X457" s="17"/>
      <c r="Y457" s="17"/>
    </row>
    <row r="458" spans="1:25" ht="13" x14ac:dyDescent="0.15">
      <c r="A458" s="15"/>
      <c r="B458" s="26"/>
      <c r="C458" s="27"/>
      <c r="D458" s="26"/>
      <c r="E458" s="28"/>
      <c r="F458" s="29"/>
      <c r="G458" s="29"/>
      <c r="H458" s="30"/>
      <c r="I458" s="29"/>
      <c r="J458" s="29"/>
      <c r="K458" s="29"/>
      <c r="L458" s="29"/>
      <c r="M458" s="29"/>
      <c r="N458" s="29"/>
      <c r="O458" s="29"/>
      <c r="P458" s="29"/>
      <c r="Q458" s="29"/>
      <c r="R458" s="30"/>
      <c r="S458" s="84"/>
      <c r="T458" s="84"/>
      <c r="U458" s="31"/>
      <c r="V458" s="32"/>
      <c r="W458" s="33"/>
      <c r="X458" s="17"/>
      <c r="Y458" s="17"/>
    </row>
    <row r="459" spans="1:25" ht="13" x14ac:dyDescent="0.15">
      <c r="A459" s="15"/>
      <c r="B459" s="26"/>
      <c r="C459" s="27"/>
      <c r="D459" s="26"/>
      <c r="E459" s="28"/>
      <c r="F459" s="29"/>
      <c r="G459" s="29"/>
      <c r="H459" s="30"/>
      <c r="I459" s="29"/>
      <c r="J459" s="29"/>
      <c r="K459" s="29"/>
      <c r="L459" s="29"/>
      <c r="M459" s="29"/>
      <c r="N459" s="29"/>
      <c r="O459" s="29"/>
      <c r="P459" s="29"/>
      <c r="Q459" s="29"/>
      <c r="R459" s="30"/>
      <c r="S459" s="84"/>
      <c r="T459" s="84"/>
      <c r="U459" s="31"/>
      <c r="V459" s="32"/>
      <c r="W459" s="33"/>
      <c r="X459" s="17"/>
      <c r="Y459" s="17"/>
    </row>
    <row r="460" spans="1:25" ht="13" x14ac:dyDescent="0.15">
      <c r="A460" s="15"/>
      <c r="B460" s="26"/>
      <c r="C460" s="27"/>
      <c r="D460" s="26"/>
      <c r="E460" s="28"/>
      <c r="F460" s="29"/>
      <c r="G460" s="29"/>
      <c r="H460" s="30"/>
      <c r="I460" s="29"/>
      <c r="J460" s="29"/>
      <c r="K460" s="29"/>
      <c r="L460" s="29"/>
      <c r="M460" s="29"/>
      <c r="N460" s="29"/>
      <c r="O460" s="29"/>
      <c r="P460" s="29"/>
      <c r="Q460" s="29"/>
      <c r="R460" s="30"/>
      <c r="S460" s="84"/>
      <c r="T460" s="84"/>
      <c r="U460" s="31"/>
      <c r="V460" s="32"/>
      <c r="W460" s="33"/>
      <c r="X460" s="17"/>
      <c r="Y460" s="17"/>
    </row>
    <row r="461" spans="1:25" ht="13" x14ac:dyDescent="0.15">
      <c r="A461" s="15"/>
      <c r="B461" s="26"/>
      <c r="C461" s="27"/>
      <c r="D461" s="26"/>
      <c r="E461" s="28"/>
      <c r="F461" s="29"/>
      <c r="G461" s="29"/>
      <c r="H461" s="30"/>
      <c r="I461" s="29"/>
      <c r="J461" s="29"/>
      <c r="K461" s="29"/>
      <c r="L461" s="29"/>
      <c r="M461" s="29"/>
      <c r="N461" s="29"/>
      <c r="O461" s="29"/>
      <c r="P461" s="29"/>
      <c r="Q461" s="29"/>
      <c r="R461" s="30"/>
      <c r="S461" s="84"/>
      <c r="T461" s="84"/>
      <c r="U461" s="31"/>
      <c r="V461" s="32"/>
      <c r="W461" s="33"/>
      <c r="X461" s="17"/>
      <c r="Y461" s="17"/>
    </row>
    <row r="462" spans="1:25" ht="13" x14ac:dyDescent="0.15">
      <c r="A462" s="15"/>
      <c r="B462" s="26"/>
      <c r="C462" s="27"/>
      <c r="D462" s="26"/>
      <c r="E462" s="28"/>
      <c r="F462" s="29"/>
      <c r="G462" s="29"/>
      <c r="H462" s="30"/>
      <c r="I462" s="29"/>
      <c r="J462" s="29"/>
      <c r="K462" s="29"/>
      <c r="L462" s="29"/>
      <c r="M462" s="29"/>
      <c r="N462" s="29"/>
      <c r="O462" s="29"/>
      <c r="P462" s="29"/>
      <c r="Q462" s="29"/>
      <c r="R462" s="30"/>
      <c r="S462" s="84"/>
      <c r="T462" s="84"/>
      <c r="U462" s="31"/>
      <c r="V462" s="32"/>
      <c r="W462" s="33"/>
      <c r="X462" s="17"/>
      <c r="Y462" s="17"/>
    </row>
    <row r="463" spans="1:25" ht="13" x14ac:dyDescent="0.15">
      <c r="A463" s="15"/>
      <c r="B463" s="26"/>
      <c r="C463" s="27"/>
      <c r="D463" s="26"/>
      <c r="E463" s="28"/>
      <c r="F463" s="29"/>
      <c r="G463" s="29"/>
      <c r="H463" s="30"/>
      <c r="I463" s="29"/>
      <c r="J463" s="29"/>
      <c r="K463" s="29"/>
      <c r="L463" s="29"/>
      <c r="M463" s="29"/>
      <c r="N463" s="29"/>
      <c r="O463" s="29"/>
      <c r="P463" s="29"/>
      <c r="Q463" s="29"/>
      <c r="R463" s="30"/>
      <c r="S463" s="84"/>
      <c r="T463" s="84"/>
      <c r="U463" s="31"/>
      <c r="V463" s="32"/>
      <c r="W463" s="33"/>
      <c r="X463" s="17"/>
      <c r="Y463" s="17"/>
    </row>
    <row r="464" spans="1:25" ht="13" x14ac:dyDescent="0.15">
      <c r="A464" s="15"/>
      <c r="B464" s="26"/>
      <c r="C464" s="27"/>
      <c r="D464" s="26"/>
      <c r="E464" s="28"/>
      <c r="F464" s="29"/>
      <c r="G464" s="29"/>
      <c r="H464" s="30"/>
      <c r="I464" s="29"/>
      <c r="J464" s="29"/>
      <c r="K464" s="29"/>
      <c r="L464" s="29"/>
      <c r="M464" s="29"/>
      <c r="N464" s="29"/>
      <c r="O464" s="29"/>
      <c r="P464" s="29"/>
      <c r="Q464" s="29"/>
      <c r="R464" s="30"/>
      <c r="S464" s="84"/>
      <c r="T464" s="84"/>
      <c r="U464" s="31"/>
      <c r="V464" s="32"/>
      <c r="W464" s="33"/>
      <c r="X464" s="17"/>
      <c r="Y464" s="17"/>
    </row>
    <row r="465" spans="1:25" ht="13" x14ac:dyDescent="0.15">
      <c r="A465" s="15"/>
      <c r="B465" s="26"/>
      <c r="C465" s="27"/>
      <c r="D465" s="26"/>
      <c r="E465" s="28"/>
      <c r="F465" s="29"/>
      <c r="G465" s="29"/>
      <c r="H465" s="30"/>
      <c r="I465" s="29"/>
      <c r="J465" s="29"/>
      <c r="K465" s="29"/>
      <c r="L465" s="29"/>
      <c r="M465" s="29"/>
      <c r="N465" s="29"/>
      <c r="O465" s="29"/>
      <c r="P465" s="29"/>
      <c r="Q465" s="29"/>
      <c r="R465" s="30"/>
      <c r="S465" s="84"/>
      <c r="T465" s="84"/>
      <c r="U465" s="31"/>
      <c r="V465" s="32"/>
      <c r="W465" s="33"/>
      <c r="X465" s="17"/>
      <c r="Y465" s="17"/>
    </row>
    <row r="466" spans="1:25" ht="13" x14ac:dyDescent="0.15">
      <c r="A466" s="15"/>
      <c r="B466" s="26"/>
      <c r="C466" s="27"/>
      <c r="D466" s="26"/>
      <c r="E466" s="28"/>
      <c r="F466" s="29"/>
      <c r="G466" s="29"/>
      <c r="H466" s="30"/>
      <c r="I466" s="29"/>
      <c r="J466" s="29"/>
      <c r="K466" s="29"/>
      <c r="L466" s="29"/>
      <c r="M466" s="29"/>
      <c r="N466" s="29"/>
      <c r="O466" s="29"/>
      <c r="P466" s="29"/>
      <c r="Q466" s="29"/>
      <c r="R466" s="30"/>
      <c r="S466" s="84"/>
      <c r="T466" s="84"/>
      <c r="U466" s="31"/>
      <c r="V466" s="32"/>
      <c r="W466" s="33"/>
      <c r="X466" s="17"/>
      <c r="Y466" s="17"/>
    </row>
    <row r="467" spans="1:25" ht="13" x14ac:dyDescent="0.15">
      <c r="A467" s="15"/>
      <c r="B467" s="26"/>
      <c r="C467" s="27"/>
      <c r="D467" s="26"/>
      <c r="E467" s="28"/>
      <c r="F467" s="29"/>
      <c r="G467" s="29"/>
      <c r="H467" s="30"/>
      <c r="I467" s="29"/>
      <c r="J467" s="29"/>
      <c r="K467" s="29"/>
      <c r="L467" s="29"/>
      <c r="M467" s="29"/>
      <c r="N467" s="29"/>
      <c r="O467" s="29"/>
      <c r="P467" s="29"/>
      <c r="Q467" s="29"/>
      <c r="R467" s="30"/>
      <c r="S467" s="84"/>
      <c r="T467" s="84"/>
      <c r="U467" s="31"/>
      <c r="V467" s="32"/>
      <c r="W467" s="33"/>
      <c r="X467" s="17"/>
      <c r="Y467" s="17"/>
    </row>
    <row r="468" spans="1:25" ht="13" x14ac:dyDescent="0.15">
      <c r="A468" s="15"/>
      <c r="B468" s="26"/>
      <c r="C468" s="27"/>
      <c r="D468" s="26"/>
      <c r="E468" s="28"/>
      <c r="F468" s="29"/>
      <c r="G468" s="29"/>
      <c r="H468" s="30"/>
      <c r="I468" s="29"/>
      <c r="J468" s="29"/>
      <c r="K468" s="29"/>
      <c r="L468" s="29"/>
      <c r="M468" s="29"/>
      <c r="N468" s="29"/>
      <c r="O468" s="29"/>
      <c r="P468" s="29"/>
      <c r="Q468" s="29"/>
      <c r="R468" s="30"/>
      <c r="S468" s="84"/>
      <c r="T468" s="84"/>
      <c r="U468" s="31"/>
      <c r="V468" s="32"/>
      <c r="W468" s="33"/>
      <c r="X468" s="17"/>
      <c r="Y468" s="17"/>
    </row>
    <row r="469" spans="1:25" ht="13" x14ac:dyDescent="0.15">
      <c r="A469" s="15"/>
      <c r="B469" s="26"/>
      <c r="C469" s="27"/>
      <c r="D469" s="26"/>
      <c r="E469" s="28"/>
      <c r="F469" s="29"/>
      <c r="G469" s="29"/>
      <c r="H469" s="30"/>
      <c r="I469" s="29"/>
      <c r="J469" s="29"/>
      <c r="K469" s="29"/>
      <c r="L469" s="29"/>
      <c r="M469" s="29"/>
      <c r="N469" s="29"/>
      <c r="O469" s="29"/>
      <c r="P469" s="29"/>
      <c r="Q469" s="29"/>
      <c r="R469" s="30"/>
      <c r="S469" s="84"/>
      <c r="T469" s="84"/>
      <c r="U469" s="31"/>
      <c r="V469" s="32"/>
      <c r="W469" s="33"/>
      <c r="X469" s="17"/>
      <c r="Y469" s="17"/>
    </row>
    <row r="470" spans="1:25" ht="13" x14ac:dyDescent="0.15">
      <c r="A470" s="15"/>
      <c r="B470" s="26"/>
      <c r="C470" s="27"/>
      <c r="D470" s="26"/>
      <c r="E470" s="28"/>
      <c r="F470" s="29"/>
      <c r="G470" s="29"/>
      <c r="H470" s="30"/>
      <c r="I470" s="29"/>
      <c r="J470" s="29"/>
      <c r="K470" s="29"/>
      <c r="L470" s="29"/>
      <c r="M470" s="29"/>
      <c r="N470" s="29"/>
      <c r="O470" s="29"/>
      <c r="P470" s="29"/>
      <c r="Q470" s="29"/>
      <c r="R470" s="30"/>
      <c r="S470" s="84"/>
      <c r="T470" s="84"/>
      <c r="U470" s="31"/>
      <c r="V470" s="32"/>
      <c r="W470" s="33"/>
      <c r="X470" s="17"/>
      <c r="Y470" s="17"/>
    </row>
    <row r="471" spans="1:25" ht="13" x14ac:dyDescent="0.15">
      <c r="A471" s="15"/>
      <c r="B471" s="26"/>
      <c r="C471" s="27"/>
      <c r="D471" s="26"/>
      <c r="E471" s="28"/>
      <c r="F471" s="29"/>
      <c r="G471" s="29"/>
      <c r="H471" s="30"/>
      <c r="I471" s="29"/>
      <c r="J471" s="29"/>
      <c r="K471" s="29"/>
      <c r="L471" s="29"/>
      <c r="M471" s="29"/>
      <c r="N471" s="29"/>
      <c r="O471" s="29"/>
      <c r="P471" s="29"/>
      <c r="Q471" s="29"/>
      <c r="R471" s="30"/>
      <c r="S471" s="84"/>
      <c r="T471" s="84"/>
      <c r="U471" s="31"/>
      <c r="V471" s="32"/>
      <c r="W471" s="33"/>
      <c r="X471" s="17"/>
      <c r="Y471" s="17"/>
    </row>
    <row r="472" spans="1:25" ht="13" x14ac:dyDescent="0.15">
      <c r="A472" s="15"/>
      <c r="B472" s="26"/>
      <c r="C472" s="27"/>
      <c r="D472" s="26"/>
      <c r="E472" s="28"/>
      <c r="F472" s="29"/>
      <c r="G472" s="29"/>
      <c r="H472" s="30"/>
      <c r="I472" s="29"/>
      <c r="J472" s="29"/>
      <c r="K472" s="29"/>
      <c r="L472" s="29"/>
      <c r="M472" s="29"/>
      <c r="N472" s="29"/>
      <c r="O472" s="29"/>
      <c r="P472" s="29"/>
      <c r="Q472" s="29"/>
      <c r="R472" s="30"/>
      <c r="S472" s="84"/>
      <c r="T472" s="84"/>
      <c r="U472" s="31"/>
      <c r="V472" s="32"/>
      <c r="W472" s="33"/>
      <c r="X472" s="17"/>
      <c r="Y472" s="17"/>
    </row>
    <row r="473" spans="1:25" ht="13" x14ac:dyDescent="0.15">
      <c r="A473" s="15"/>
      <c r="B473" s="26"/>
      <c r="C473" s="27"/>
      <c r="D473" s="26"/>
      <c r="E473" s="28"/>
      <c r="F473" s="29"/>
      <c r="G473" s="29"/>
      <c r="H473" s="30"/>
      <c r="I473" s="29"/>
      <c r="J473" s="29"/>
      <c r="K473" s="29"/>
      <c r="L473" s="29"/>
      <c r="M473" s="29"/>
      <c r="N473" s="29"/>
      <c r="O473" s="29"/>
      <c r="P473" s="29"/>
      <c r="Q473" s="29"/>
      <c r="R473" s="30"/>
      <c r="S473" s="84"/>
      <c r="T473" s="84"/>
      <c r="U473" s="31"/>
      <c r="V473" s="32"/>
      <c r="W473" s="33"/>
      <c r="X473" s="17"/>
      <c r="Y473" s="17"/>
    </row>
    <row r="474" spans="1:25" ht="13" x14ac:dyDescent="0.15">
      <c r="A474" s="15"/>
      <c r="B474" s="26"/>
      <c r="C474" s="27"/>
      <c r="D474" s="26"/>
      <c r="E474" s="28"/>
      <c r="F474" s="29"/>
      <c r="G474" s="29"/>
      <c r="H474" s="30"/>
      <c r="I474" s="29"/>
      <c r="J474" s="29"/>
      <c r="K474" s="29"/>
      <c r="L474" s="29"/>
      <c r="M474" s="29"/>
      <c r="N474" s="29"/>
      <c r="O474" s="29"/>
      <c r="P474" s="29"/>
      <c r="Q474" s="29"/>
      <c r="R474" s="30"/>
      <c r="S474" s="84"/>
      <c r="T474" s="84"/>
      <c r="U474" s="31"/>
      <c r="V474" s="32"/>
      <c r="W474" s="33"/>
      <c r="X474" s="17"/>
      <c r="Y474" s="17"/>
    </row>
    <row r="475" spans="1:25" ht="13" x14ac:dyDescent="0.15">
      <c r="A475" s="15"/>
      <c r="B475" s="26"/>
      <c r="C475" s="27"/>
      <c r="D475" s="26"/>
      <c r="E475" s="28"/>
      <c r="F475" s="29"/>
      <c r="G475" s="29"/>
      <c r="H475" s="30"/>
      <c r="I475" s="29"/>
      <c r="J475" s="29"/>
      <c r="K475" s="29"/>
      <c r="L475" s="29"/>
      <c r="M475" s="29"/>
      <c r="N475" s="29"/>
      <c r="O475" s="29"/>
      <c r="P475" s="29"/>
      <c r="Q475" s="29"/>
      <c r="R475" s="30"/>
      <c r="S475" s="84"/>
      <c r="T475" s="84"/>
      <c r="U475" s="31"/>
      <c r="V475" s="32"/>
      <c r="W475" s="33"/>
      <c r="X475" s="17"/>
      <c r="Y475" s="17"/>
    </row>
    <row r="476" spans="1:25" ht="13" x14ac:dyDescent="0.15">
      <c r="A476" s="15"/>
      <c r="B476" s="26"/>
      <c r="C476" s="27"/>
      <c r="D476" s="26"/>
      <c r="E476" s="28"/>
      <c r="F476" s="29"/>
      <c r="G476" s="29"/>
      <c r="H476" s="30"/>
      <c r="I476" s="29"/>
      <c r="J476" s="29"/>
      <c r="K476" s="29"/>
      <c r="L476" s="29"/>
      <c r="M476" s="29"/>
      <c r="N476" s="29"/>
      <c r="O476" s="29"/>
      <c r="P476" s="29"/>
      <c r="Q476" s="29"/>
      <c r="R476" s="30"/>
      <c r="S476" s="84"/>
      <c r="T476" s="84"/>
      <c r="U476" s="31"/>
      <c r="V476" s="32"/>
      <c r="W476" s="33"/>
      <c r="X476" s="17"/>
      <c r="Y476" s="17"/>
    </row>
    <row r="477" spans="1:25" ht="13" x14ac:dyDescent="0.15">
      <c r="A477" s="15"/>
      <c r="B477" s="26"/>
      <c r="C477" s="27"/>
      <c r="D477" s="26"/>
      <c r="E477" s="28"/>
      <c r="F477" s="29"/>
      <c r="G477" s="29"/>
      <c r="H477" s="30"/>
      <c r="I477" s="29"/>
      <c r="J477" s="29"/>
      <c r="K477" s="29"/>
      <c r="L477" s="29"/>
      <c r="M477" s="29"/>
      <c r="N477" s="29"/>
      <c r="O477" s="29"/>
      <c r="P477" s="29"/>
      <c r="Q477" s="29"/>
      <c r="R477" s="30"/>
      <c r="S477" s="84"/>
      <c r="T477" s="84"/>
      <c r="U477" s="31"/>
      <c r="V477" s="32"/>
      <c r="W477" s="33"/>
      <c r="X477" s="17"/>
      <c r="Y477" s="17"/>
    </row>
    <row r="478" spans="1:25" ht="13" x14ac:dyDescent="0.15">
      <c r="A478" s="15"/>
      <c r="B478" s="26"/>
      <c r="C478" s="27"/>
      <c r="D478" s="26"/>
      <c r="E478" s="28"/>
      <c r="F478" s="29"/>
      <c r="G478" s="29"/>
      <c r="H478" s="30"/>
      <c r="I478" s="29"/>
      <c r="J478" s="29"/>
      <c r="K478" s="29"/>
      <c r="L478" s="29"/>
      <c r="M478" s="29"/>
      <c r="N478" s="29"/>
      <c r="O478" s="29"/>
      <c r="P478" s="29"/>
      <c r="Q478" s="29"/>
      <c r="R478" s="30"/>
      <c r="S478" s="84"/>
      <c r="T478" s="84"/>
      <c r="U478" s="31"/>
      <c r="V478" s="32"/>
      <c r="W478" s="33"/>
      <c r="X478" s="17"/>
      <c r="Y478" s="17"/>
    </row>
    <row r="479" spans="1:25" ht="13" x14ac:dyDescent="0.15">
      <c r="A479" s="15"/>
      <c r="B479" s="26"/>
      <c r="C479" s="27"/>
      <c r="D479" s="26"/>
      <c r="E479" s="28"/>
      <c r="F479" s="29"/>
      <c r="G479" s="29"/>
      <c r="H479" s="30"/>
      <c r="I479" s="29"/>
      <c r="J479" s="29"/>
      <c r="K479" s="29"/>
      <c r="L479" s="29"/>
      <c r="M479" s="29"/>
      <c r="N479" s="29"/>
      <c r="O479" s="29"/>
      <c r="P479" s="29"/>
      <c r="Q479" s="29"/>
      <c r="R479" s="30"/>
      <c r="S479" s="84"/>
      <c r="T479" s="84"/>
      <c r="U479" s="31"/>
      <c r="V479" s="32"/>
      <c r="W479" s="33"/>
      <c r="X479" s="17"/>
      <c r="Y479" s="17"/>
    </row>
    <row r="480" spans="1:25" ht="13" x14ac:dyDescent="0.15">
      <c r="A480" s="15"/>
      <c r="B480" s="26"/>
      <c r="C480" s="27"/>
      <c r="D480" s="26"/>
      <c r="E480" s="28"/>
      <c r="F480" s="29"/>
      <c r="G480" s="29"/>
      <c r="H480" s="30"/>
      <c r="I480" s="29"/>
      <c r="J480" s="29"/>
      <c r="K480" s="29"/>
      <c r="L480" s="29"/>
      <c r="M480" s="29"/>
      <c r="N480" s="29"/>
      <c r="O480" s="29"/>
      <c r="P480" s="29"/>
      <c r="Q480" s="29"/>
      <c r="R480" s="30"/>
      <c r="S480" s="84"/>
      <c r="T480" s="84"/>
      <c r="U480" s="31"/>
      <c r="V480" s="32"/>
      <c r="W480" s="33"/>
      <c r="X480" s="17"/>
      <c r="Y480" s="17"/>
    </row>
    <row r="481" spans="1:25" ht="13" x14ac:dyDescent="0.15">
      <c r="A481" s="15"/>
      <c r="B481" s="26"/>
      <c r="C481" s="27"/>
      <c r="D481" s="26"/>
      <c r="E481" s="28"/>
      <c r="F481" s="29"/>
      <c r="G481" s="29"/>
      <c r="H481" s="30"/>
      <c r="I481" s="29"/>
      <c r="J481" s="29"/>
      <c r="K481" s="29"/>
      <c r="L481" s="29"/>
      <c r="M481" s="29"/>
      <c r="N481" s="29"/>
      <c r="O481" s="29"/>
      <c r="P481" s="29"/>
      <c r="Q481" s="29"/>
      <c r="R481" s="30"/>
      <c r="S481" s="84"/>
      <c r="T481" s="84"/>
      <c r="U481" s="31"/>
      <c r="V481" s="32"/>
      <c r="W481" s="33"/>
      <c r="X481" s="17"/>
      <c r="Y481" s="17"/>
    </row>
    <row r="482" spans="1:25" ht="13" x14ac:dyDescent="0.15">
      <c r="A482" s="15"/>
      <c r="B482" s="26"/>
      <c r="C482" s="27"/>
      <c r="D482" s="26"/>
      <c r="E482" s="28"/>
      <c r="F482" s="29"/>
      <c r="G482" s="29"/>
      <c r="H482" s="30"/>
      <c r="I482" s="29"/>
      <c r="J482" s="29"/>
      <c r="K482" s="29"/>
      <c r="L482" s="29"/>
      <c r="M482" s="29"/>
      <c r="N482" s="29"/>
      <c r="O482" s="29"/>
      <c r="P482" s="29"/>
      <c r="Q482" s="29"/>
      <c r="R482" s="30"/>
      <c r="S482" s="84"/>
      <c r="T482" s="84"/>
      <c r="U482" s="31"/>
      <c r="V482" s="32"/>
      <c r="W482" s="33"/>
      <c r="X482" s="17"/>
      <c r="Y482" s="17"/>
    </row>
    <row r="483" spans="1:25" ht="13" x14ac:dyDescent="0.15">
      <c r="A483" s="15"/>
      <c r="B483" s="26"/>
      <c r="C483" s="27"/>
      <c r="D483" s="26"/>
      <c r="E483" s="28"/>
      <c r="F483" s="29"/>
      <c r="G483" s="29"/>
      <c r="H483" s="30"/>
      <c r="I483" s="29"/>
      <c r="J483" s="29"/>
      <c r="K483" s="29"/>
      <c r="L483" s="29"/>
      <c r="M483" s="29"/>
      <c r="N483" s="29"/>
      <c r="O483" s="29"/>
      <c r="P483" s="29"/>
      <c r="Q483" s="29"/>
      <c r="R483" s="30"/>
      <c r="S483" s="84"/>
      <c r="T483" s="84"/>
      <c r="U483" s="31"/>
      <c r="V483" s="32"/>
      <c r="W483" s="33"/>
      <c r="X483" s="17"/>
      <c r="Y483" s="17"/>
    </row>
    <row r="484" spans="1:25" ht="13" x14ac:dyDescent="0.15">
      <c r="A484" s="15"/>
      <c r="B484" s="26"/>
      <c r="C484" s="27"/>
      <c r="D484" s="26"/>
      <c r="E484" s="28"/>
      <c r="F484" s="29"/>
      <c r="G484" s="29"/>
      <c r="H484" s="30"/>
      <c r="I484" s="29"/>
      <c r="J484" s="29"/>
      <c r="K484" s="29"/>
      <c r="L484" s="29"/>
      <c r="M484" s="29"/>
      <c r="N484" s="29"/>
      <c r="O484" s="29"/>
      <c r="P484" s="29"/>
      <c r="Q484" s="29"/>
      <c r="R484" s="30"/>
      <c r="S484" s="84"/>
      <c r="T484" s="84"/>
      <c r="U484" s="31"/>
      <c r="V484" s="32"/>
      <c r="W484" s="33"/>
      <c r="X484" s="17"/>
      <c r="Y484" s="17"/>
    </row>
    <row r="485" spans="1:25" ht="13" x14ac:dyDescent="0.15">
      <c r="A485" s="15"/>
      <c r="B485" s="26"/>
      <c r="C485" s="27"/>
      <c r="D485" s="26"/>
      <c r="E485" s="28"/>
      <c r="F485" s="29"/>
      <c r="G485" s="29"/>
      <c r="H485" s="30"/>
      <c r="I485" s="29"/>
      <c r="J485" s="29"/>
      <c r="K485" s="29"/>
      <c r="L485" s="29"/>
      <c r="M485" s="29"/>
      <c r="N485" s="29"/>
      <c r="O485" s="29"/>
      <c r="P485" s="29"/>
      <c r="Q485" s="29"/>
      <c r="R485" s="30"/>
      <c r="S485" s="84"/>
      <c r="T485" s="84"/>
      <c r="U485" s="31"/>
      <c r="V485" s="32"/>
      <c r="W485" s="33"/>
      <c r="X485" s="17"/>
      <c r="Y485" s="17"/>
    </row>
    <row r="486" spans="1:25" ht="13" x14ac:dyDescent="0.15">
      <c r="A486" s="15"/>
      <c r="B486" s="26"/>
      <c r="C486" s="27"/>
      <c r="D486" s="26"/>
      <c r="E486" s="28"/>
      <c r="F486" s="29"/>
      <c r="G486" s="29"/>
      <c r="H486" s="30"/>
      <c r="I486" s="29"/>
      <c r="J486" s="29"/>
      <c r="K486" s="29"/>
      <c r="L486" s="29"/>
      <c r="M486" s="29"/>
      <c r="N486" s="29"/>
      <c r="O486" s="29"/>
      <c r="P486" s="29"/>
      <c r="Q486" s="29"/>
      <c r="R486" s="30"/>
      <c r="S486" s="84"/>
      <c r="T486" s="84"/>
      <c r="U486" s="31"/>
      <c r="V486" s="32"/>
      <c r="W486" s="33"/>
      <c r="X486" s="17"/>
      <c r="Y486" s="17"/>
    </row>
    <row r="487" spans="1:25" ht="13" x14ac:dyDescent="0.15">
      <c r="A487" s="15"/>
      <c r="B487" s="26"/>
      <c r="C487" s="27"/>
      <c r="D487" s="26"/>
      <c r="E487" s="28"/>
      <c r="F487" s="29"/>
      <c r="G487" s="29"/>
      <c r="H487" s="30"/>
      <c r="I487" s="29"/>
      <c r="J487" s="29"/>
      <c r="K487" s="29"/>
      <c r="L487" s="29"/>
      <c r="M487" s="29"/>
      <c r="N487" s="29"/>
      <c r="O487" s="29"/>
      <c r="P487" s="29"/>
      <c r="Q487" s="29"/>
      <c r="R487" s="30"/>
      <c r="S487" s="84"/>
      <c r="T487" s="84"/>
      <c r="U487" s="31"/>
      <c r="V487" s="32"/>
      <c r="W487" s="33"/>
      <c r="X487" s="17"/>
      <c r="Y487" s="17"/>
    </row>
    <row r="488" spans="1:25" ht="13" x14ac:dyDescent="0.15">
      <c r="A488" s="15"/>
      <c r="B488" s="26"/>
      <c r="C488" s="27"/>
      <c r="D488" s="26"/>
      <c r="E488" s="28"/>
      <c r="F488" s="29"/>
      <c r="G488" s="29"/>
      <c r="H488" s="30"/>
      <c r="I488" s="29"/>
      <c r="J488" s="29"/>
      <c r="K488" s="29"/>
      <c r="L488" s="29"/>
      <c r="M488" s="29"/>
      <c r="N488" s="29"/>
      <c r="O488" s="29"/>
      <c r="P488" s="29"/>
      <c r="Q488" s="29"/>
      <c r="R488" s="30"/>
      <c r="S488" s="84"/>
      <c r="T488" s="84"/>
      <c r="U488" s="31"/>
      <c r="V488" s="32"/>
      <c r="W488" s="33"/>
      <c r="X488" s="17"/>
      <c r="Y488" s="17"/>
    </row>
    <row r="489" spans="1:25" ht="13" x14ac:dyDescent="0.15">
      <c r="A489" s="15"/>
      <c r="B489" s="26"/>
      <c r="C489" s="27"/>
      <c r="D489" s="26"/>
      <c r="E489" s="28"/>
      <c r="F489" s="29"/>
      <c r="G489" s="29"/>
      <c r="H489" s="30"/>
      <c r="I489" s="29"/>
      <c r="J489" s="29"/>
      <c r="K489" s="29"/>
      <c r="L489" s="29"/>
      <c r="M489" s="29"/>
      <c r="N489" s="29"/>
      <c r="O489" s="29"/>
      <c r="P489" s="29"/>
      <c r="Q489" s="29"/>
      <c r="R489" s="30"/>
      <c r="S489" s="84"/>
      <c r="T489" s="84"/>
      <c r="U489" s="31"/>
      <c r="V489" s="32"/>
      <c r="W489" s="33"/>
      <c r="X489" s="17"/>
      <c r="Y489" s="17"/>
    </row>
    <row r="490" spans="1:25" ht="13" x14ac:dyDescent="0.15">
      <c r="A490" s="15"/>
      <c r="B490" s="26"/>
      <c r="C490" s="27"/>
      <c r="D490" s="26"/>
      <c r="E490" s="28"/>
      <c r="F490" s="29"/>
      <c r="G490" s="29"/>
      <c r="H490" s="30"/>
      <c r="I490" s="29"/>
      <c r="J490" s="29"/>
      <c r="K490" s="29"/>
      <c r="L490" s="29"/>
      <c r="M490" s="29"/>
      <c r="N490" s="29"/>
      <c r="O490" s="29"/>
      <c r="P490" s="29"/>
      <c r="Q490" s="29"/>
      <c r="R490" s="30"/>
      <c r="S490" s="84"/>
      <c r="T490" s="84"/>
      <c r="U490" s="31"/>
      <c r="V490" s="32"/>
      <c r="W490" s="33"/>
      <c r="X490" s="17"/>
      <c r="Y490" s="17"/>
    </row>
    <row r="491" spans="1:25" ht="13" x14ac:dyDescent="0.15">
      <c r="A491" s="15"/>
      <c r="B491" s="26"/>
      <c r="C491" s="27"/>
      <c r="D491" s="26"/>
      <c r="E491" s="28"/>
      <c r="F491" s="29"/>
      <c r="G491" s="29"/>
      <c r="H491" s="30"/>
      <c r="I491" s="29"/>
      <c r="J491" s="29"/>
      <c r="K491" s="29"/>
      <c r="L491" s="29"/>
      <c r="M491" s="29"/>
      <c r="N491" s="29"/>
      <c r="O491" s="29"/>
      <c r="P491" s="29"/>
      <c r="Q491" s="29"/>
      <c r="R491" s="30"/>
      <c r="S491" s="84"/>
      <c r="T491" s="84"/>
      <c r="U491" s="31"/>
      <c r="V491" s="32"/>
      <c r="W491" s="33"/>
      <c r="X491" s="17"/>
      <c r="Y491" s="17"/>
    </row>
    <row r="492" spans="1:25" ht="13" x14ac:dyDescent="0.15">
      <c r="A492" s="15"/>
      <c r="B492" s="26"/>
      <c r="C492" s="27"/>
      <c r="D492" s="26"/>
      <c r="E492" s="28"/>
      <c r="F492" s="29"/>
      <c r="G492" s="29"/>
      <c r="H492" s="30"/>
      <c r="I492" s="29"/>
      <c r="J492" s="29"/>
      <c r="K492" s="29"/>
      <c r="L492" s="29"/>
      <c r="M492" s="29"/>
      <c r="N492" s="29"/>
      <c r="O492" s="29"/>
      <c r="P492" s="29"/>
      <c r="Q492" s="29"/>
      <c r="R492" s="30"/>
      <c r="S492" s="84"/>
      <c r="T492" s="84"/>
      <c r="U492" s="31"/>
      <c r="V492" s="32"/>
      <c r="W492" s="33"/>
      <c r="X492" s="17"/>
      <c r="Y492" s="17"/>
    </row>
    <row r="493" spans="1:25" ht="13" x14ac:dyDescent="0.15">
      <c r="A493" s="15"/>
      <c r="B493" s="26"/>
      <c r="C493" s="27"/>
      <c r="D493" s="26"/>
      <c r="E493" s="28"/>
      <c r="F493" s="29"/>
      <c r="G493" s="29"/>
      <c r="H493" s="30"/>
      <c r="I493" s="29"/>
      <c r="J493" s="29"/>
      <c r="K493" s="29"/>
      <c r="L493" s="29"/>
      <c r="M493" s="29"/>
      <c r="N493" s="29"/>
      <c r="O493" s="29"/>
      <c r="P493" s="29"/>
      <c r="Q493" s="29"/>
      <c r="R493" s="30"/>
      <c r="S493" s="84"/>
      <c r="T493" s="84"/>
      <c r="U493" s="31"/>
      <c r="V493" s="32"/>
      <c r="W493" s="33"/>
      <c r="X493" s="17"/>
      <c r="Y493" s="17"/>
    </row>
    <row r="494" spans="1:25" ht="13" x14ac:dyDescent="0.15">
      <c r="A494" s="15"/>
      <c r="B494" s="26"/>
      <c r="C494" s="27"/>
      <c r="D494" s="26"/>
      <c r="E494" s="28"/>
      <c r="F494" s="29"/>
      <c r="G494" s="29"/>
      <c r="H494" s="30"/>
      <c r="I494" s="29"/>
      <c r="J494" s="29"/>
      <c r="K494" s="29"/>
      <c r="L494" s="29"/>
      <c r="M494" s="29"/>
      <c r="N494" s="29"/>
      <c r="O494" s="29"/>
      <c r="P494" s="29"/>
      <c r="Q494" s="29"/>
      <c r="R494" s="30"/>
      <c r="S494" s="84"/>
      <c r="T494" s="84"/>
      <c r="U494" s="31"/>
      <c r="V494" s="32"/>
      <c r="W494" s="33"/>
      <c r="X494" s="17"/>
      <c r="Y494" s="17"/>
    </row>
    <row r="495" spans="1:25" ht="13" x14ac:dyDescent="0.15">
      <c r="A495" s="15"/>
      <c r="B495" s="26"/>
      <c r="C495" s="27"/>
      <c r="D495" s="26"/>
      <c r="E495" s="28"/>
      <c r="F495" s="29"/>
      <c r="G495" s="29"/>
      <c r="H495" s="30"/>
      <c r="I495" s="29"/>
      <c r="J495" s="29"/>
      <c r="K495" s="29"/>
      <c r="L495" s="29"/>
      <c r="M495" s="29"/>
      <c r="N495" s="29"/>
      <c r="O495" s="29"/>
      <c r="P495" s="29"/>
      <c r="Q495" s="29"/>
      <c r="R495" s="30"/>
      <c r="S495" s="84"/>
      <c r="T495" s="84"/>
      <c r="U495" s="31"/>
      <c r="V495" s="32"/>
      <c r="W495" s="33"/>
      <c r="X495" s="17"/>
      <c r="Y495" s="17"/>
    </row>
    <row r="496" spans="1:25" ht="13" x14ac:dyDescent="0.15">
      <c r="A496" s="15"/>
      <c r="B496" s="26"/>
      <c r="C496" s="27"/>
      <c r="D496" s="26"/>
      <c r="E496" s="28"/>
      <c r="F496" s="29"/>
      <c r="G496" s="29"/>
      <c r="H496" s="30"/>
      <c r="I496" s="29"/>
      <c r="J496" s="29"/>
      <c r="K496" s="29"/>
      <c r="L496" s="29"/>
      <c r="M496" s="29"/>
      <c r="N496" s="29"/>
      <c r="O496" s="29"/>
      <c r="P496" s="29"/>
      <c r="Q496" s="29"/>
      <c r="R496" s="30"/>
      <c r="S496" s="84"/>
      <c r="T496" s="84"/>
      <c r="U496" s="31"/>
      <c r="V496" s="32"/>
      <c r="W496" s="33"/>
      <c r="X496" s="17"/>
      <c r="Y496" s="17"/>
    </row>
    <row r="497" spans="1:25" ht="13" x14ac:dyDescent="0.15">
      <c r="A497" s="15"/>
      <c r="B497" s="26"/>
      <c r="C497" s="27"/>
      <c r="D497" s="26"/>
      <c r="E497" s="28"/>
      <c r="F497" s="29"/>
      <c r="G497" s="29"/>
      <c r="H497" s="30"/>
      <c r="I497" s="29"/>
      <c r="J497" s="29"/>
      <c r="K497" s="29"/>
      <c r="L497" s="29"/>
      <c r="M497" s="29"/>
      <c r="N497" s="29"/>
      <c r="O497" s="29"/>
      <c r="P497" s="29"/>
      <c r="Q497" s="29"/>
      <c r="R497" s="30"/>
      <c r="S497" s="84"/>
      <c r="T497" s="84"/>
      <c r="U497" s="31"/>
      <c r="V497" s="32"/>
      <c r="W497" s="33"/>
      <c r="X497" s="17"/>
      <c r="Y497" s="17"/>
    </row>
    <row r="498" spans="1:25" ht="13" x14ac:dyDescent="0.15">
      <c r="A498" s="15"/>
      <c r="B498" s="26"/>
      <c r="C498" s="27"/>
      <c r="D498" s="26"/>
      <c r="E498" s="28"/>
      <c r="F498" s="29"/>
      <c r="G498" s="29"/>
      <c r="H498" s="30"/>
      <c r="I498" s="29"/>
      <c r="J498" s="29"/>
      <c r="K498" s="29"/>
      <c r="L498" s="29"/>
      <c r="M498" s="29"/>
      <c r="N498" s="29"/>
      <c r="O498" s="29"/>
      <c r="P498" s="29"/>
      <c r="Q498" s="29"/>
      <c r="R498" s="30"/>
      <c r="S498" s="84"/>
      <c r="T498" s="84"/>
      <c r="U498" s="31"/>
      <c r="V498" s="32"/>
      <c r="W498" s="33"/>
      <c r="X498" s="17"/>
      <c r="Y498" s="17"/>
    </row>
    <row r="499" spans="1:25" ht="13" x14ac:dyDescent="0.15">
      <c r="A499" s="15"/>
      <c r="B499" s="26"/>
      <c r="C499" s="27"/>
      <c r="D499" s="26"/>
      <c r="E499" s="28"/>
      <c r="F499" s="29"/>
      <c r="G499" s="29"/>
      <c r="H499" s="30"/>
      <c r="I499" s="29"/>
      <c r="J499" s="29"/>
      <c r="K499" s="29"/>
      <c r="L499" s="29"/>
      <c r="M499" s="29"/>
      <c r="N499" s="29"/>
      <c r="O499" s="29"/>
      <c r="P499" s="29"/>
      <c r="Q499" s="29"/>
      <c r="R499" s="30"/>
      <c r="S499" s="84"/>
      <c r="T499" s="84"/>
      <c r="U499" s="31"/>
      <c r="V499" s="32"/>
      <c r="W499" s="33"/>
      <c r="X499" s="17"/>
      <c r="Y499" s="17"/>
    </row>
    <row r="500" spans="1:25" ht="13" x14ac:dyDescent="0.15">
      <c r="A500" s="15"/>
      <c r="B500" s="26"/>
      <c r="C500" s="27"/>
      <c r="D500" s="26"/>
      <c r="E500" s="28"/>
      <c r="F500" s="29"/>
      <c r="G500" s="29"/>
      <c r="H500" s="30"/>
      <c r="I500" s="29"/>
      <c r="J500" s="29"/>
      <c r="K500" s="29"/>
      <c r="L500" s="29"/>
      <c r="M500" s="29"/>
      <c r="N500" s="29"/>
      <c r="O500" s="29"/>
      <c r="P500" s="29"/>
      <c r="Q500" s="29"/>
      <c r="R500" s="30"/>
      <c r="S500" s="84"/>
      <c r="T500" s="84"/>
      <c r="U500" s="31"/>
      <c r="V500" s="32"/>
      <c r="W500" s="33"/>
      <c r="X500" s="17"/>
      <c r="Y500" s="17"/>
    </row>
    <row r="501" spans="1:25" ht="13" x14ac:dyDescent="0.15">
      <c r="A501" s="15"/>
      <c r="B501" s="26"/>
      <c r="C501" s="27"/>
      <c r="D501" s="26"/>
      <c r="E501" s="28"/>
      <c r="F501" s="29"/>
      <c r="G501" s="29"/>
      <c r="H501" s="30"/>
      <c r="I501" s="29"/>
      <c r="J501" s="29"/>
      <c r="K501" s="29"/>
      <c r="L501" s="29"/>
      <c r="M501" s="29"/>
      <c r="N501" s="29"/>
      <c r="O501" s="29"/>
      <c r="P501" s="29"/>
      <c r="Q501" s="29"/>
      <c r="R501" s="30"/>
      <c r="S501" s="84"/>
      <c r="T501" s="84"/>
      <c r="U501" s="31"/>
      <c r="V501" s="32"/>
      <c r="W501" s="33"/>
      <c r="X501" s="17"/>
      <c r="Y501" s="17"/>
    </row>
    <row r="502" spans="1:25" ht="13" x14ac:dyDescent="0.15">
      <c r="A502" s="15"/>
      <c r="B502" s="26"/>
      <c r="C502" s="27"/>
      <c r="D502" s="26"/>
      <c r="E502" s="28"/>
      <c r="F502" s="29"/>
      <c r="G502" s="29"/>
      <c r="H502" s="30"/>
      <c r="I502" s="29"/>
      <c r="J502" s="29"/>
      <c r="K502" s="29"/>
      <c r="L502" s="29"/>
      <c r="M502" s="29"/>
      <c r="N502" s="29"/>
      <c r="O502" s="29"/>
      <c r="P502" s="29"/>
      <c r="Q502" s="29"/>
      <c r="R502" s="30"/>
      <c r="S502" s="84"/>
      <c r="T502" s="84"/>
      <c r="U502" s="31"/>
      <c r="V502" s="32"/>
      <c r="W502" s="33"/>
      <c r="X502" s="17"/>
      <c r="Y502" s="17"/>
    </row>
    <row r="503" spans="1:25" ht="13" x14ac:dyDescent="0.15">
      <c r="A503" s="15"/>
      <c r="B503" s="26"/>
      <c r="C503" s="27"/>
      <c r="D503" s="26"/>
      <c r="E503" s="28"/>
      <c r="F503" s="29"/>
      <c r="G503" s="29"/>
      <c r="H503" s="30"/>
      <c r="I503" s="29"/>
      <c r="J503" s="29"/>
      <c r="K503" s="29"/>
      <c r="L503" s="29"/>
      <c r="M503" s="29"/>
      <c r="N503" s="29"/>
      <c r="O503" s="29"/>
      <c r="P503" s="29"/>
      <c r="Q503" s="29"/>
      <c r="R503" s="30"/>
      <c r="S503" s="84"/>
      <c r="T503" s="84"/>
      <c r="U503" s="31"/>
      <c r="V503" s="32"/>
      <c r="W503" s="33"/>
      <c r="X503" s="17"/>
      <c r="Y503" s="17"/>
    </row>
    <row r="504" spans="1:25" ht="13" x14ac:dyDescent="0.15">
      <c r="A504" s="15"/>
      <c r="B504" s="26"/>
      <c r="C504" s="27"/>
      <c r="D504" s="26"/>
      <c r="E504" s="28"/>
      <c r="F504" s="29"/>
      <c r="G504" s="29"/>
      <c r="H504" s="30"/>
      <c r="I504" s="29"/>
      <c r="J504" s="29"/>
      <c r="K504" s="29"/>
      <c r="L504" s="29"/>
      <c r="M504" s="29"/>
      <c r="N504" s="29"/>
      <c r="O504" s="29"/>
      <c r="P504" s="29"/>
      <c r="Q504" s="29"/>
      <c r="R504" s="30"/>
      <c r="S504" s="84"/>
      <c r="T504" s="84"/>
      <c r="U504" s="31"/>
      <c r="V504" s="32"/>
      <c r="W504" s="33"/>
      <c r="X504" s="17"/>
      <c r="Y504" s="17"/>
    </row>
    <row r="505" spans="1:25" ht="13" x14ac:dyDescent="0.15">
      <c r="A505" s="15"/>
      <c r="B505" s="26"/>
      <c r="C505" s="27"/>
      <c r="D505" s="26"/>
      <c r="E505" s="28"/>
      <c r="F505" s="29"/>
      <c r="G505" s="29"/>
      <c r="H505" s="30"/>
      <c r="I505" s="29"/>
      <c r="J505" s="29"/>
      <c r="K505" s="29"/>
      <c r="L505" s="29"/>
      <c r="M505" s="29"/>
      <c r="N505" s="29"/>
      <c r="O505" s="29"/>
      <c r="P505" s="29"/>
      <c r="Q505" s="29"/>
      <c r="R505" s="30"/>
      <c r="S505" s="84"/>
      <c r="T505" s="84"/>
      <c r="U505" s="31"/>
      <c r="V505" s="32"/>
      <c r="W505" s="33"/>
      <c r="X505" s="17"/>
      <c r="Y505" s="17"/>
    </row>
    <row r="506" spans="1:25" ht="13" x14ac:dyDescent="0.15">
      <c r="A506" s="15"/>
      <c r="B506" s="26"/>
      <c r="C506" s="27"/>
      <c r="D506" s="26"/>
      <c r="E506" s="28"/>
      <c r="F506" s="29"/>
      <c r="G506" s="29"/>
      <c r="H506" s="30"/>
      <c r="I506" s="29"/>
      <c r="J506" s="29"/>
      <c r="K506" s="29"/>
      <c r="L506" s="29"/>
      <c r="M506" s="29"/>
      <c r="N506" s="29"/>
      <c r="O506" s="29"/>
      <c r="P506" s="29"/>
      <c r="Q506" s="29"/>
      <c r="R506" s="30"/>
      <c r="S506" s="84"/>
      <c r="T506" s="84"/>
      <c r="U506" s="31"/>
      <c r="V506" s="32"/>
      <c r="W506" s="33"/>
      <c r="X506" s="17"/>
      <c r="Y506" s="17"/>
    </row>
    <row r="507" spans="1:25" ht="13" x14ac:dyDescent="0.15">
      <c r="A507" s="15"/>
      <c r="B507" s="26"/>
      <c r="C507" s="27"/>
      <c r="D507" s="26"/>
      <c r="E507" s="28"/>
      <c r="F507" s="29"/>
      <c r="G507" s="29"/>
      <c r="H507" s="30"/>
      <c r="I507" s="29"/>
      <c r="J507" s="29"/>
      <c r="K507" s="29"/>
      <c r="L507" s="29"/>
      <c r="M507" s="29"/>
      <c r="N507" s="29"/>
      <c r="O507" s="29"/>
      <c r="P507" s="29"/>
      <c r="Q507" s="29"/>
      <c r="R507" s="30"/>
      <c r="S507" s="84"/>
      <c r="T507" s="84"/>
      <c r="U507" s="31"/>
      <c r="V507" s="32"/>
      <c r="W507" s="33"/>
      <c r="X507" s="17"/>
      <c r="Y507" s="17"/>
    </row>
    <row r="508" spans="1:25" ht="13" x14ac:dyDescent="0.15">
      <c r="A508" s="15"/>
      <c r="B508" s="26"/>
      <c r="C508" s="27"/>
      <c r="D508" s="26"/>
      <c r="E508" s="28"/>
      <c r="F508" s="29"/>
      <c r="G508" s="29"/>
      <c r="H508" s="30"/>
      <c r="I508" s="29"/>
      <c r="J508" s="29"/>
      <c r="K508" s="29"/>
      <c r="L508" s="29"/>
      <c r="M508" s="29"/>
      <c r="N508" s="29"/>
      <c r="O508" s="29"/>
      <c r="P508" s="29"/>
      <c r="Q508" s="29"/>
      <c r="R508" s="30"/>
      <c r="S508" s="84"/>
      <c r="T508" s="84"/>
      <c r="U508" s="31"/>
      <c r="V508" s="32"/>
      <c r="W508" s="33"/>
      <c r="X508" s="17"/>
      <c r="Y508" s="17"/>
    </row>
    <row r="509" spans="1:25" ht="13" x14ac:dyDescent="0.15">
      <c r="A509" s="15"/>
      <c r="B509" s="26"/>
      <c r="C509" s="27"/>
      <c r="D509" s="26"/>
      <c r="E509" s="28"/>
      <c r="F509" s="29"/>
      <c r="G509" s="29"/>
      <c r="H509" s="30"/>
      <c r="I509" s="29"/>
      <c r="J509" s="29"/>
      <c r="K509" s="29"/>
      <c r="L509" s="29"/>
      <c r="M509" s="29"/>
      <c r="N509" s="29"/>
      <c r="O509" s="29"/>
      <c r="P509" s="29"/>
      <c r="Q509" s="29"/>
      <c r="R509" s="30"/>
      <c r="S509" s="84"/>
      <c r="T509" s="84"/>
      <c r="U509" s="31"/>
      <c r="V509" s="32"/>
      <c r="W509" s="33"/>
      <c r="X509" s="17"/>
      <c r="Y509" s="17"/>
    </row>
    <row r="510" spans="1:25" ht="13" x14ac:dyDescent="0.15">
      <c r="A510" s="15"/>
      <c r="B510" s="26"/>
      <c r="C510" s="27"/>
      <c r="D510" s="26"/>
      <c r="E510" s="28"/>
      <c r="F510" s="29"/>
      <c r="G510" s="29"/>
      <c r="H510" s="30"/>
      <c r="I510" s="29"/>
      <c r="J510" s="29"/>
      <c r="K510" s="29"/>
      <c r="L510" s="29"/>
      <c r="M510" s="29"/>
      <c r="N510" s="29"/>
      <c r="O510" s="29"/>
      <c r="P510" s="29"/>
      <c r="Q510" s="29"/>
      <c r="R510" s="30"/>
      <c r="S510" s="84"/>
      <c r="T510" s="84"/>
      <c r="U510" s="31"/>
      <c r="V510" s="32"/>
      <c r="W510" s="33"/>
      <c r="X510" s="17"/>
      <c r="Y510" s="17"/>
    </row>
    <row r="511" spans="1:25" ht="13" x14ac:dyDescent="0.15">
      <c r="A511" s="15"/>
      <c r="B511" s="26"/>
      <c r="C511" s="27"/>
      <c r="D511" s="26"/>
      <c r="E511" s="28"/>
      <c r="F511" s="29"/>
      <c r="G511" s="29"/>
      <c r="H511" s="30"/>
      <c r="I511" s="29"/>
      <c r="J511" s="29"/>
      <c r="K511" s="29"/>
      <c r="L511" s="29"/>
      <c r="M511" s="29"/>
      <c r="N511" s="29"/>
      <c r="O511" s="29"/>
      <c r="P511" s="29"/>
      <c r="Q511" s="29"/>
      <c r="R511" s="30"/>
      <c r="S511" s="84"/>
      <c r="T511" s="84"/>
      <c r="U511" s="31"/>
      <c r="V511" s="32"/>
      <c r="W511" s="33"/>
      <c r="X511" s="17"/>
      <c r="Y511" s="17"/>
    </row>
    <row r="512" spans="1:25" ht="13" x14ac:dyDescent="0.15">
      <c r="A512" s="15"/>
      <c r="B512" s="26"/>
      <c r="C512" s="27"/>
      <c r="D512" s="26"/>
      <c r="E512" s="28"/>
      <c r="F512" s="29"/>
      <c r="G512" s="29"/>
      <c r="H512" s="30"/>
      <c r="I512" s="29"/>
      <c r="J512" s="29"/>
      <c r="K512" s="29"/>
      <c r="L512" s="29"/>
      <c r="M512" s="29"/>
      <c r="N512" s="29"/>
      <c r="O512" s="29"/>
      <c r="P512" s="29"/>
      <c r="Q512" s="29"/>
      <c r="R512" s="30"/>
      <c r="S512" s="84"/>
      <c r="T512" s="84"/>
      <c r="U512" s="31"/>
      <c r="V512" s="32"/>
      <c r="W512" s="33"/>
      <c r="X512" s="17"/>
      <c r="Y512" s="17"/>
    </row>
    <row r="513" spans="1:25" ht="13" x14ac:dyDescent="0.15">
      <c r="A513" s="15"/>
      <c r="B513" s="26"/>
      <c r="C513" s="27"/>
      <c r="D513" s="26"/>
      <c r="E513" s="28"/>
      <c r="F513" s="29"/>
      <c r="G513" s="29"/>
      <c r="H513" s="30"/>
      <c r="I513" s="29"/>
      <c r="J513" s="29"/>
      <c r="K513" s="29"/>
      <c r="L513" s="29"/>
      <c r="M513" s="29"/>
      <c r="N513" s="29"/>
      <c r="O513" s="29"/>
      <c r="P513" s="29"/>
      <c r="Q513" s="29"/>
      <c r="R513" s="30"/>
      <c r="S513" s="84"/>
      <c r="T513" s="84"/>
      <c r="U513" s="31"/>
      <c r="V513" s="32"/>
      <c r="W513" s="33"/>
      <c r="X513" s="17"/>
      <c r="Y513" s="17"/>
    </row>
    <row r="514" spans="1:25" ht="13" x14ac:dyDescent="0.15">
      <c r="A514" s="15"/>
      <c r="B514" s="26"/>
      <c r="C514" s="27"/>
      <c r="D514" s="26"/>
      <c r="E514" s="28"/>
      <c r="F514" s="29"/>
      <c r="G514" s="29"/>
      <c r="H514" s="30"/>
      <c r="I514" s="29"/>
      <c r="J514" s="29"/>
      <c r="K514" s="29"/>
      <c r="L514" s="29"/>
      <c r="M514" s="29"/>
      <c r="N514" s="29"/>
      <c r="O514" s="29"/>
      <c r="P514" s="29"/>
      <c r="Q514" s="29"/>
      <c r="R514" s="30"/>
      <c r="S514" s="84"/>
      <c r="T514" s="84"/>
      <c r="U514" s="31"/>
      <c r="V514" s="32"/>
      <c r="W514" s="33"/>
      <c r="X514" s="17"/>
      <c r="Y514" s="17"/>
    </row>
    <row r="515" spans="1:25" ht="13" x14ac:dyDescent="0.15">
      <c r="A515" s="15"/>
      <c r="B515" s="26"/>
      <c r="C515" s="27"/>
      <c r="D515" s="26"/>
      <c r="E515" s="28"/>
      <c r="F515" s="29"/>
      <c r="G515" s="29"/>
      <c r="H515" s="30"/>
      <c r="I515" s="29"/>
      <c r="J515" s="29"/>
      <c r="K515" s="29"/>
      <c r="L515" s="29"/>
      <c r="M515" s="29"/>
      <c r="N515" s="29"/>
      <c r="O515" s="29"/>
      <c r="P515" s="29"/>
      <c r="Q515" s="29"/>
      <c r="R515" s="30"/>
      <c r="S515" s="84"/>
      <c r="T515" s="84"/>
      <c r="U515" s="31"/>
      <c r="V515" s="32"/>
      <c r="W515" s="33"/>
      <c r="X515" s="17"/>
      <c r="Y515" s="17"/>
    </row>
    <row r="516" spans="1:25" ht="13" x14ac:dyDescent="0.15">
      <c r="A516" s="15"/>
      <c r="B516" s="26"/>
      <c r="C516" s="27"/>
      <c r="D516" s="26"/>
      <c r="E516" s="28"/>
      <c r="F516" s="29"/>
      <c r="G516" s="29"/>
      <c r="H516" s="30"/>
      <c r="I516" s="29"/>
      <c r="J516" s="29"/>
      <c r="K516" s="29"/>
      <c r="L516" s="29"/>
      <c r="M516" s="29"/>
      <c r="N516" s="29"/>
      <c r="O516" s="29"/>
      <c r="P516" s="29"/>
      <c r="Q516" s="29"/>
      <c r="R516" s="30"/>
      <c r="S516" s="84"/>
      <c r="T516" s="84"/>
      <c r="U516" s="31"/>
      <c r="V516" s="32"/>
      <c r="W516" s="33"/>
      <c r="X516" s="17"/>
      <c r="Y516" s="17"/>
    </row>
    <row r="517" spans="1:25" ht="13" x14ac:dyDescent="0.15">
      <c r="A517" s="15"/>
      <c r="B517" s="26"/>
      <c r="C517" s="27"/>
      <c r="D517" s="26"/>
      <c r="E517" s="28"/>
      <c r="F517" s="29"/>
      <c r="G517" s="29"/>
      <c r="H517" s="30"/>
      <c r="I517" s="29"/>
      <c r="J517" s="29"/>
      <c r="K517" s="29"/>
      <c r="L517" s="29"/>
      <c r="M517" s="29"/>
      <c r="N517" s="29"/>
      <c r="O517" s="29"/>
      <c r="P517" s="29"/>
      <c r="Q517" s="29"/>
      <c r="R517" s="30"/>
      <c r="S517" s="84"/>
      <c r="T517" s="84"/>
      <c r="U517" s="31"/>
      <c r="V517" s="32"/>
      <c r="W517" s="33"/>
      <c r="X517" s="17"/>
      <c r="Y517" s="17"/>
    </row>
    <row r="518" spans="1:25" ht="13" x14ac:dyDescent="0.15">
      <c r="A518" s="15"/>
      <c r="B518" s="26"/>
      <c r="C518" s="27"/>
      <c r="D518" s="26"/>
      <c r="E518" s="28"/>
      <c r="F518" s="29"/>
      <c r="G518" s="29"/>
      <c r="H518" s="30"/>
      <c r="I518" s="29"/>
      <c r="J518" s="29"/>
      <c r="K518" s="29"/>
      <c r="L518" s="29"/>
      <c r="M518" s="29"/>
      <c r="N518" s="29"/>
      <c r="O518" s="29"/>
      <c r="P518" s="29"/>
      <c r="Q518" s="29"/>
      <c r="R518" s="30"/>
      <c r="S518" s="84"/>
      <c r="T518" s="84"/>
      <c r="U518" s="31"/>
      <c r="V518" s="32"/>
      <c r="W518" s="33"/>
      <c r="X518" s="17"/>
      <c r="Y518" s="17"/>
    </row>
    <row r="519" spans="1:25" ht="13" x14ac:dyDescent="0.15">
      <c r="A519" s="15"/>
      <c r="B519" s="26"/>
      <c r="C519" s="27"/>
      <c r="D519" s="26"/>
      <c r="E519" s="28"/>
      <c r="F519" s="29"/>
      <c r="G519" s="29"/>
      <c r="H519" s="30"/>
      <c r="I519" s="29"/>
      <c r="J519" s="29"/>
      <c r="K519" s="29"/>
      <c r="L519" s="29"/>
      <c r="M519" s="29"/>
      <c r="N519" s="29"/>
      <c r="O519" s="29"/>
      <c r="P519" s="29"/>
      <c r="Q519" s="29"/>
      <c r="R519" s="30"/>
      <c r="S519" s="84"/>
      <c r="T519" s="84"/>
      <c r="U519" s="31"/>
      <c r="V519" s="32"/>
      <c r="W519" s="33"/>
      <c r="X519" s="17"/>
      <c r="Y519" s="17"/>
    </row>
    <row r="520" spans="1:25" ht="13" x14ac:dyDescent="0.15">
      <c r="A520" s="15"/>
      <c r="B520" s="26"/>
      <c r="C520" s="27"/>
      <c r="D520" s="26"/>
      <c r="E520" s="28"/>
      <c r="F520" s="29"/>
      <c r="G520" s="29"/>
      <c r="H520" s="30"/>
      <c r="I520" s="29"/>
      <c r="J520" s="29"/>
      <c r="K520" s="29"/>
      <c r="L520" s="29"/>
      <c r="M520" s="29"/>
      <c r="N520" s="29"/>
      <c r="O520" s="29"/>
      <c r="P520" s="29"/>
      <c r="Q520" s="29"/>
      <c r="R520" s="30"/>
      <c r="S520" s="84"/>
      <c r="T520" s="84"/>
      <c r="U520" s="31"/>
      <c r="V520" s="32"/>
      <c r="W520" s="33"/>
      <c r="X520" s="17"/>
      <c r="Y520" s="17"/>
    </row>
    <row r="521" spans="1:25" ht="13" x14ac:dyDescent="0.15">
      <c r="A521" s="15"/>
      <c r="B521" s="26"/>
      <c r="C521" s="27"/>
      <c r="D521" s="26"/>
      <c r="E521" s="28"/>
      <c r="F521" s="29"/>
      <c r="G521" s="29"/>
      <c r="H521" s="30"/>
      <c r="I521" s="29"/>
      <c r="J521" s="29"/>
      <c r="K521" s="29"/>
      <c r="L521" s="29"/>
      <c r="M521" s="29"/>
      <c r="N521" s="29"/>
      <c r="O521" s="29"/>
      <c r="P521" s="29"/>
      <c r="Q521" s="29"/>
      <c r="R521" s="30"/>
      <c r="S521" s="84"/>
      <c r="T521" s="84"/>
      <c r="U521" s="31"/>
      <c r="V521" s="32"/>
      <c r="W521" s="33"/>
      <c r="X521" s="17"/>
      <c r="Y521" s="17"/>
    </row>
    <row r="522" spans="1:25" ht="13" x14ac:dyDescent="0.15">
      <c r="A522" s="15"/>
      <c r="B522" s="26"/>
      <c r="C522" s="27"/>
      <c r="D522" s="26"/>
      <c r="E522" s="28"/>
      <c r="F522" s="29"/>
      <c r="G522" s="29"/>
      <c r="H522" s="30"/>
      <c r="I522" s="29"/>
      <c r="J522" s="29"/>
      <c r="K522" s="29"/>
      <c r="L522" s="29"/>
      <c r="M522" s="29"/>
      <c r="N522" s="29"/>
      <c r="O522" s="29"/>
      <c r="P522" s="29"/>
      <c r="Q522" s="29"/>
      <c r="R522" s="30"/>
      <c r="S522" s="84"/>
      <c r="T522" s="84"/>
      <c r="U522" s="31"/>
      <c r="V522" s="32"/>
      <c r="W522" s="33"/>
      <c r="X522" s="17"/>
      <c r="Y522" s="17"/>
    </row>
    <row r="523" spans="1:25" ht="13" x14ac:dyDescent="0.15">
      <c r="A523" s="15"/>
      <c r="B523" s="26"/>
      <c r="C523" s="27"/>
      <c r="D523" s="26"/>
      <c r="E523" s="28"/>
      <c r="F523" s="29"/>
      <c r="G523" s="29"/>
      <c r="H523" s="30"/>
      <c r="I523" s="29"/>
      <c r="J523" s="29"/>
      <c r="K523" s="29"/>
      <c r="L523" s="29"/>
      <c r="M523" s="29"/>
      <c r="N523" s="29"/>
      <c r="O523" s="29"/>
      <c r="P523" s="29"/>
      <c r="Q523" s="29"/>
      <c r="R523" s="30"/>
      <c r="S523" s="84"/>
      <c r="T523" s="84"/>
      <c r="U523" s="31"/>
      <c r="V523" s="32"/>
      <c r="W523" s="33"/>
      <c r="X523" s="17"/>
      <c r="Y523" s="17"/>
    </row>
    <row r="524" spans="1:25" ht="13" x14ac:dyDescent="0.15">
      <c r="A524" s="15"/>
      <c r="B524" s="26"/>
      <c r="C524" s="27"/>
      <c r="D524" s="26"/>
      <c r="E524" s="28"/>
      <c r="F524" s="29"/>
      <c r="G524" s="29"/>
      <c r="H524" s="30"/>
      <c r="I524" s="29"/>
      <c r="J524" s="29"/>
      <c r="K524" s="29"/>
      <c r="L524" s="29"/>
      <c r="M524" s="29"/>
      <c r="N524" s="29"/>
      <c r="O524" s="29"/>
      <c r="P524" s="29"/>
      <c r="Q524" s="29"/>
      <c r="R524" s="30"/>
      <c r="S524" s="84"/>
      <c r="T524" s="84"/>
      <c r="U524" s="31"/>
      <c r="V524" s="32"/>
      <c r="W524" s="33"/>
      <c r="X524" s="17"/>
      <c r="Y524" s="17"/>
    </row>
    <row r="525" spans="1:25" ht="13" x14ac:dyDescent="0.15">
      <c r="A525" s="15"/>
      <c r="B525" s="26"/>
      <c r="C525" s="27"/>
      <c r="D525" s="26"/>
      <c r="E525" s="28"/>
      <c r="F525" s="29"/>
      <c r="G525" s="29"/>
      <c r="H525" s="30"/>
      <c r="I525" s="29"/>
      <c r="J525" s="29"/>
      <c r="K525" s="29"/>
      <c r="L525" s="29"/>
      <c r="M525" s="29"/>
      <c r="N525" s="29"/>
      <c r="O525" s="29"/>
      <c r="P525" s="29"/>
      <c r="Q525" s="29"/>
      <c r="R525" s="30"/>
      <c r="S525" s="84"/>
      <c r="T525" s="84"/>
      <c r="U525" s="31"/>
      <c r="V525" s="32"/>
      <c r="W525" s="33"/>
      <c r="X525" s="17"/>
      <c r="Y525" s="17"/>
    </row>
    <row r="526" spans="1:25" ht="13" x14ac:dyDescent="0.15">
      <c r="A526" s="15"/>
      <c r="B526" s="26"/>
      <c r="C526" s="27"/>
      <c r="D526" s="26"/>
      <c r="E526" s="28"/>
      <c r="F526" s="29"/>
      <c r="G526" s="29"/>
      <c r="H526" s="30"/>
      <c r="I526" s="29"/>
      <c r="J526" s="29"/>
      <c r="K526" s="29"/>
      <c r="L526" s="29"/>
      <c r="M526" s="29"/>
      <c r="N526" s="29"/>
      <c r="O526" s="29"/>
      <c r="P526" s="29"/>
      <c r="Q526" s="29"/>
      <c r="R526" s="30"/>
      <c r="S526" s="84"/>
      <c r="T526" s="84"/>
      <c r="U526" s="31"/>
      <c r="V526" s="32"/>
      <c r="W526" s="33"/>
      <c r="X526" s="17"/>
      <c r="Y526" s="17"/>
    </row>
    <row r="527" spans="1:25" ht="13" x14ac:dyDescent="0.15">
      <c r="A527" s="15"/>
      <c r="B527" s="26"/>
      <c r="C527" s="27"/>
      <c r="D527" s="26"/>
      <c r="E527" s="28"/>
      <c r="F527" s="29"/>
      <c r="G527" s="29"/>
      <c r="H527" s="30"/>
      <c r="I527" s="29"/>
      <c r="J527" s="29"/>
      <c r="K527" s="29"/>
      <c r="L527" s="29"/>
      <c r="M527" s="29"/>
      <c r="N527" s="29"/>
      <c r="O527" s="29"/>
      <c r="P527" s="29"/>
      <c r="Q527" s="29"/>
      <c r="R527" s="30"/>
      <c r="S527" s="84"/>
      <c r="T527" s="84"/>
      <c r="U527" s="31"/>
      <c r="V527" s="32"/>
      <c r="W527" s="33"/>
      <c r="X527" s="17"/>
      <c r="Y527" s="17"/>
    </row>
    <row r="528" spans="1:25" ht="13" x14ac:dyDescent="0.15">
      <c r="A528" s="15"/>
      <c r="B528" s="26"/>
      <c r="C528" s="27"/>
      <c r="D528" s="26"/>
      <c r="E528" s="28"/>
      <c r="F528" s="29"/>
      <c r="G528" s="29"/>
      <c r="H528" s="30"/>
      <c r="I528" s="29"/>
      <c r="J528" s="29"/>
      <c r="K528" s="29"/>
      <c r="L528" s="29"/>
      <c r="M528" s="29"/>
      <c r="N528" s="29"/>
      <c r="O528" s="29"/>
      <c r="P528" s="29"/>
      <c r="Q528" s="29"/>
      <c r="R528" s="30"/>
      <c r="S528" s="84"/>
      <c r="T528" s="84"/>
      <c r="U528" s="31"/>
      <c r="V528" s="32"/>
      <c r="W528" s="33"/>
      <c r="X528" s="17"/>
      <c r="Y528" s="17"/>
    </row>
    <row r="529" spans="1:25" ht="13" x14ac:dyDescent="0.15">
      <c r="A529" s="15"/>
      <c r="B529" s="26"/>
      <c r="C529" s="27"/>
      <c r="D529" s="26"/>
      <c r="E529" s="28"/>
      <c r="F529" s="29"/>
      <c r="G529" s="29"/>
      <c r="H529" s="30"/>
      <c r="I529" s="29"/>
      <c r="J529" s="29"/>
      <c r="K529" s="29"/>
      <c r="L529" s="29"/>
      <c r="M529" s="29"/>
      <c r="N529" s="29"/>
      <c r="O529" s="29"/>
      <c r="P529" s="29"/>
      <c r="Q529" s="29"/>
      <c r="R529" s="30"/>
      <c r="S529" s="84"/>
      <c r="T529" s="84"/>
      <c r="U529" s="31"/>
      <c r="V529" s="32"/>
      <c r="W529" s="33"/>
      <c r="X529" s="17"/>
      <c r="Y529" s="17"/>
    </row>
    <row r="530" spans="1:25" ht="13" x14ac:dyDescent="0.15">
      <c r="A530" s="15"/>
      <c r="B530" s="26"/>
      <c r="C530" s="27"/>
      <c r="D530" s="26"/>
      <c r="E530" s="28"/>
      <c r="F530" s="29"/>
      <c r="G530" s="29"/>
      <c r="H530" s="30"/>
      <c r="I530" s="29"/>
      <c r="J530" s="29"/>
      <c r="K530" s="29"/>
      <c r="L530" s="29"/>
      <c r="M530" s="29"/>
      <c r="N530" s="29"/>
      <c r="O530" s="29"/>
      <c r="P530" s="29"/>
      <c r="Q530" s="29"/>
      <c r="R530" s="30"/>
      <c r="S530" s="84"/>
      <c r="T530" s="84"/>
      <c r="U530" s="31"/>
      <c r="V530" s="32"/>
      <c r="W530" s="33"/>
      <c r="X530" s="17"/>
      <c r="Y530" s="17"/>
    </row>
    <row r="531" spans="1:25" ht="13" x14ac:dyDescent="0.15">
      <c r="A531" s="15"/>
      <c r="B531" s="26"/>
      <c r="C531" s="27"/>
      <c r="D531" s="26"/>
      <c r="E531" s="28"/>
      <c r="F531" s="29"/>
      <c r="G531" s="29"/>
      <c r="H531" s="30"/>
      <c r="I531" s="29"/>
      <c r="J531" s="29"/>
      <c r="K531" s="29"/>
      <c r="L531" s="29"/>
      <c r="M531" s="29"/>
      <c r="N531" s="29"/>
      <c r="O531" s="29"/>
      <c r="P531" s="29"/>
      <c r="Q531" s="29"/>
      <c r="R531" s="30"/>
      <c r="S531" s="84"/>
      <c r="T531" s="84"/>
      <c r="U531" s="31"/>
      <c r="V531" s="32"/>
      <c r="W531" s="33"/>
      <c r="X531" s="17"/>
      <c r="Y531" s="17"/>
    </row>
    <row r="532" spans="1:25" ht="13" x14ac:dyDescent="0.15">
      <c r="A532" s="15"/>
      <c r="B532" s="26"/>
      <c r="C532" s="27"/>
      <c r="D532" s="26"/>
      <c r="E532" s="28"/>
      <c r="F532" s="29"/>
      <c r="G532" s="29"/>
      <c r="H532" s="30"/>
      <c r="I532" s="29"/>
      <c r="J532" s="29"/>
      <c r="K532" s="29"/>
      <c r="L532" s="29"/>
      <c r="M532" s="29"/>
      <c r="N532" s="29"/>
      <c r="O532" s="29"/>
      <c r="P532" s="29"/>
      <c r="Q532" s="29"/>
      <c r="R532" s="30"/>
      <c r="S532" s="84"/>
      <c r="T532" s="84"/>
      <c r="U532" s="31"/>
      <c r="V532" s="32"/>
      <c r="W532" s="33"/>
      <c r="X532" s="17"/>
      <c r="Y532" s="17"/>
    </row>
    <row r="533" spans="1:25" ht="13" x14ac:dyDescent="0.15">
      <c r="A533" s="15"/>
      <c r="B533" s="26"/>
      <c r="C533" s="27"/>
      <c r="D533" s="26"/>
      <c r="E533" s="28"/>
      <c r="F533" s="29"/>
      <c r="G533" s="29"/>
      <c r="H533" s="30"/>
      <c r="I533" s="29"/>
      <c r="J533" s="29"/>
      <c r="K533" s="29"/>
      <c r="L533" s="29"/>
      <c r="M533" s="29"/>
      <c r="N533" s="29"/>
      <c r="O533" s="29"/>
      <c r="P533" s="29"/>
      <c r="Q533" s="29"/>
      <c r="R533" s="30"/>
      <c r="S533" s="84"/>
      <c r="T533" s="84"/>
      <c r="U533" s="31"/>
      <c r="V533" s="32"/>
      <c r="W533" s="33"/>
      <c r="X533" s="17"/>
      <c r="Y533" s="17"/>
    </row>
    <row r="534" spans="1:25" ht="13" x14ac:dyDescent="0.15">
      <c r="A534" s="15"/>
      <c r="B534" s="26"/>
      <c r="C534" s="27"/>
      <c r="D534" s="26"/>
      <c r="E534" s="28"/>
      <c r="F534" s="29"/>
      <c r="G534" s="29"/>
      <c r="H534" s="30"/>
      <c r="I534" s="29"/>
      <c r="J534" s="29"/>
      <c r="K534" s="29"/>
      <c r="L534" s="29"/>
      <c r="M534" s="29"/>
      <c r="N534" s="29"/>
      <c r="O534" s="29"/>
      <c r="P534" s="29"/>
      <c r="Q534" s="29"/>
      <c r="R534" s="30"/>
      <c r="S534" s="84"/>
      <c r="T534" s="84"/>
      <c r="U534" s="31"/>
      <c r="V534" s="32"/>
      <c r="W534" s="33"/>
      <c r="X534" s="17"/>
      <c r="Y534" s="17"/>
    </row>
    <row r="535" spans="1:25" ht="13" x14ac:dyDescent="0.15">
      <c r="A535" s="15"/>
      <c r="B535" s="26"/>
      <c r="C535" s="27"/>
      <c r="D535" s="26"/>
      <c r="E535" s="28"/>
      <c r="F535" s="29"/>
      <c r="G535" s="29"/>
      <c r="H535" s="30"/>
      <c r="I535" s="29"/>
      <c r="J535" s="29"/>
      <c r="K535" s="29"/>
      <c r="L535" s="29"/>
      <c r="M535" s="29"/>
      <c r="N535" s="29"/>
      <c r="O535" s="29"/>
      <c r="P535" s="29"/>
      <c r="Q535" s="29"/>
      <c r="R535" s="30"/>
      <c r="S535" s="84"/>
      <c r="T535" s="84"/>
      <c r="U535" s="31"/>
      <c r="V535" s="32"/>
      <c r="W535" s="33"/>
      <c r="X535" s="17"/>
      <c r="Y535" s="17"/>
    </row>
    <row r="536" spans="1:25" ht="13" x14ac:dyDescent="0.15">
      <c r="A536" s="15"/>
      <c r="B536" s="26"/>
      <c r="C536" s="27"/>
      <c r="D536" s="26"/>
      <c r="E536" s="28"/>
      <c r="F536" s="29"/>
      <c r="G536" s="29"/>
      <c r="H536" s="30"/>
      <c r="I536" s="29"/>
      <c r="J536" s="29"/>
      <c r="K536" s="29"/>
      <c r="L536" s="29"/>
      <c r="M536" s="29"/>
      <c r="N536" s="29"/>
      <c r="O536" s="29"/>
      <c r="P536" s="29"/>
      <c r="Q536" s="29"/>
      <c r="R536" s="30"/>
      <c r="S536" s="84"/>
      <c r="T536" s="84"/>
      <c r="U536" s="31"/>
      <c r="V536" s="32"/>
      <c r="W536" s="33"/>
      <c r="X536" s="17"/>
      <c r="Y536" s="17"/>
    </row>
    <row r="537" spans="1:25" ht="13" x14ac:dyDescent="0.15">
      <c r="A537" s="15"/>
      <c r="B537" s="26"/>
      <c r="C537" s="27"/>
      <c r="D537" s="26"/>
      <c r="E537" s="28"/>
      <c r="F537" s="29"/>
      <c r="G537" s="29"/>
      <c r="H537" s="30"/>
      <c r="I537" s="29"/>
      <c r="J537" s="29"/>
      <c r="K537" s="29"/>
      <c r="L537" s="29"/>
      <c r="M537" s="29"/>
      <c r="N537" s="29"/>
      <c r="O537" s="29"/>
      <c r="P537" s="29"/>
      <c r="Q537" s="29"/>
      <c r="R537" s="30"/>
      <c r="S537" s="84"/>
      <c r="T537" s="84"/>
      <c r="U537" s="31"/>
      <c r="V537" s="32"/>
      <c r="W537" s="33"/>
      <c r="X537" s="17"/>
      <c r="Y537" s="17"/>
    </row>
    <row r="538" spans="1:25" ht="13" x14ac:dyDescent="0.15">
      <c r="A538" s="15"/>
      <c r="B538" s="26"/>
      <c r="C538" s="27"/>
      <c r="D538" s="26"/>
      <c r="E538" s="28"/>
      <c r="F538" s="29"/>
      <c r="G538" s="29"/>
      <c r="H538" s="30"/>
      <c r="I538" s="29"/>
      <c r="J538" s="29"/>
      <c r="K538" s="29"/>
      <c r="L538" s="29"/>
      <c r="M538" s="29"/>
      <c r="N538" s="29"/>
      <c r="O538" s="29"/>
      <c r="P538" s="29"/>
      <c r="Q538" s="29"/>
      <c r="R538" s="30"/>
      <c r="S538" s="84"/>
      <c r="T538" s="84"/>
      <c r="U538" s="31"/>
      <c r="V538" s="32"/>
      <c r="W538" s="33"/>
      <c r="X538" s="17"/>
      <c r="Y538" s="17"/>
    </row>
    <row r="539" spans="1:25" ht="13" x14ac:dyDescent="0.15">
      <c r="A539" s="15"/>
      <c r="B539" s="26"/>
      <c r="C539" s="27"/>
      <c r="D539" s="26"/>
      <c r="E539" s="28"/>
      <c r="F539" s="29"/>
      <c r="G539" s="29"/>
      <c r="H539" s="30"/>
      <c r="I539" s="29"/>
      <c r="J539" s="29"/>
      <c r="K539" s="29"/>
      <c r="L539" s="29"/>
      <c r="M539" s="29"/>
      <c r="N539" s="29"/>
      <c r="O539" s="29"/>
      <c r="P539" s="29"/>
      <c r="Q539" s="29"/>
      <c r="R539" s="30"/>
      <c r="S539" s="84"/>
      <c r="T539" s="84"/>
      <c r="U539" s="31"/>
      <c r="V539" s="32"/>
      <c r="W539" s="33"/>
      <c r="X539" s="17"/>
      <c r="Y539" s="17"/>
    </row>
    <row r="540" spans="1:25" ht="13" x14ac:dyDescent="0.15">
      <c r="A540" s="15"/>
      <c r="B540" s="26"/>
      <c r="C540" s="27"/>
      <c r="D540" s="26"/>
      <c r="E540" s="28"/>
      <c r="F540" s="29"/>
      <c r="G540" s="29"/>
      <c r="H540" s="30"/>
      <c r="I540" s="29"/>
      <c r="J540" s="29"/>
      <c r="K540" s="29"/>
      <c r="L540" s="29"/>
      <c r="M540" s="29"/>
      <c r="N540" s="29"/>
      <c r="O540" s="29"/>
      <c r="P540" s="29"/>
      <c r="Q540" s="29"/>
      <c r="R540" s="30"/>
      <c r="S540" s="84"/>
      <c r="T540" s="84"/>
      <c r="U540" s="31"/>
      <c r="V540" s="32"/>
      <c r="W540" s="33"/>
      <c r="X540" s="17"/>
      <c r="Y540" s="17"/>
    </row>
    <row r="541" spans="1:25" ht="13" x14ac:dyDescent="0.15">
      <c r="A541" s="15"/>
      <c r="B541" s="26"/>
      <c r="C541" s="27"/>
      <c r="D541" s="26"/>
      <c r="E541" s="28"/>
      <c r="F541" s="29"/>
      <c r="G541" s="29"/>
      <c r="H541" s="30"/>
      <c r="I541" s="29"/>
      <c r="J541" s="29"/>
      <c r="K541" s="29"/>
      <c r="L541" s="29"/>
      <c r="M541" s="29"/>
      <c r="N541" s="29"/>
      <c r="O541" s="29"/>
      <c r="P541" s="29"/>
      <c r="Q541" s="29"/>
      <c r="R541" s="30"/>
      <c r="S541" s="84"/>
      <c r="T541" s="84"/>
      <c r="U541" s="31"/>
      <c r="V541" s="32"/>
      <c r="W541" s="33"/>
      <c r="X541" s="17"/>
      <c r="Y541" s="17"/>
    </row>
    <row r="542" spans="1:25" ht="13" x14ac:dyDescent="0.15">
      <c r="A542" s="15"/>
      <c r="B542" s="26"/>
      <c r="C542" s="27"/>
      <c r="D542" s="26"/>
      <c r="E542" s="28"/>
      <c r="F542" s="29"/>
      <c r="G542" s="29"/>
      <c r="H542" s="30"/>
      <c r="I542" s="29"/>
      <c r="J542" s="29"/>
      <c r="K542" s="29"/>
      <c r="L542" s="29"/>
      <c r="M542" s="29"/>
      <c r="N542" s="29"/>
      <c r="O542" s="29"/>
      <c r="P542" s="29"/>
      <c r="Q542" s="29"/>
      <c r="R542" s="30"/>
      <c r="S542" s="84"/>
      <c r="T542" s="84"/>
      <c r="U542" s="31"/>
      <c r="V542" s="32"/>
      <c r="W542" s="33"/>
      <c r="X542" s="17"/>
      <c r="Y542" s="17"/>
    </row>
    <row r="543" spans="1:25" ht="13" x14ac:dyDescent="0.15">
      <c r="A543" s="15"/>
      <c r="B543" s="26"/>
      <c r="C543" s="27"/>
      <c r="D543" s="26"/>
      <c r="E543" s="28"/>
      <c r="F543" s="29"/>
      <c r="G543" s="29"/>
      <c r="H543" s="30"/>
      <c r="I543" s="29"/>
      <c r="J543" s="29"/>
      <c r="K543" s="29"/>
      <c r="L543" s="29"/>
      <c r="M543" s="29"/>
      <c r="N543" s="29"/>
      <c r="O543" s="29"/>
      <c r="P543" s="29"/>
      <c r="Q543" s="29"/>
      <c r="R543" s="30"/>
      <c r="S543" s="84"/>
      <c r="T543" s="84"/>
      <c r="U543" s="31"/>
      <c r="V543" s="32"/>
      <c r="W543" s="33"/>
      <c r="X543" s="17"/>
      <c r="Y543" s="17"/>
    </row>
    <row r="544" spans="1:25" ht="13" x14ac:dyDescent="0.15">
      <c r="A544" s="15"/>
      <c r="B544" s="26"/>
      <c r="C544" s="27"/>
      <c r="D544" s="26"/>
      <c r="E544" s="28"/>
      <c r="F544" s="29"/>
      <c r="G544" s="29"/>
      <c r="H544" s="30"/>
      <c r="I544" s="29"/>
      <c r="J544" s="29"/>
      <c r="K544" s="29"/>
      <c r="L544" s="29"/>
      <c r="M544" s="29"/>
      <c r="N544" s="29"/>
      <c r="O544" s="29"/>
      <c r="P544" s="29"/>
      <c r="Q544" s="29"/>
      <c r="R544" s="30"/>
      <c r="S544" s="84"/>
      <c r="T544" s="84"/>
      <c r="U544" s="31"/>
      <c r="V544" s="32"/>
      <c r="W544" s="33"/>
      <c r="X544" s="17"/>
      <c r="Y544" s="17"/>
    </row>
    <row r="545" spans="1:25" ht="13" x14ac:dyDescent="0.15">
      <c r="A545" s="15"/>
      <c r="B545" s="26"/>
      <c r="C545" s="27"/>
      <c r="D545" s="26"/>
      <c r="E545" s="28"/>
      <c r="F545" s="29"/>
      <c r="G545" s="29"/>
      <c r="H545" s="30"/>
      <c r="I545" s="29"/>
      <c r="J545" s="29"/>
      <c r="K545" s="29"/>
      <c r="L545" s="29"/>
      <c r="M545" s="29"/>
      <c r="N545" s="29"/>
      <c r="O545" s="29"/>
      <c r="P545" s="29"/>
      <c r="Q545" s="29"/>
      <c r="R545" s="30"/>
      <c r="S545" s="84"/>
      <c r="T545" s="84"/>
      <c r="U545" s="31"/>
      <c r="V545" s="32"/>
      <c r="W545" s="33"/>
      <c r="X545" s="17"/>
      <c r="Y545" s="17"/>
    </row>
    <row r="546" spans="1:25" ht="13" x14ac:dyDescent="0.15">
      <c r="A546" s="15"/>
      <c r="B546" s="26"/>
      <c r="C546" s="27"/>
      <c r="D546" s="26"/>
      <c r="E546" s="28"/>
      <c r="F546" s="29"/>
      <c r="G546" s="29"/>
      <c r="H546" s="30"/>
      <c r="I546" s="29"/>
      <c r="J546" s="29"/>
      <c r="K546" s="29"/>
      <c r="L546" s="29"/>
      <c r="M546" s="29"/>
      <c r="N546" s="29"/>
      <c r="O546" s="29"/>
      <c r="P546" s="29"/>
      <c r="Q546" s="29"/>
      <c r="R546" s="30"/>
      <c r="S546" s="84"/>
      <c r="T546" s="84"/>
      <c r="U546" s="31"/>
      <c r="V546" s="32"/>
      <c r="W546" s="33"/>
      <c r="X546" s="17"/>
      <c r="Y546" s="17"/>
    </row>
    <row r="547" spans="1:25" ht="13" x14ac:dyDescent="0.15">
      <c r="A547" s="15"/>
      <c r="B547" s="26"/>
      <c r="C547" s="27"/>
      <c r="D547" s="26"/>
      <c r="E547" s="28"/>
      <c r="F547" s="29"/>
      <c r="G547" s="29"/>
      <c r="H547" s="30"/>
      <c r="I547" s="29"/>
      <c r="J547" s="29"/>
      <c r="K547" s="29"/>
      <c r="L547" s="29"/>
      <c r="M547" s="29"/>
      <c r="N547" s="29"/>
      <c r="O547" s="29"/>
      <c r="P547" s="29"/>
      <c r="Q547" s="29"/>
      <c r="R547" s="30"/>
      <c r="S547" s="84"/>
      <c r="T547" s="84"/>
      <c r="U547" s="31"/>
      <c r="V547" s="32"/>
      <c r="W547" s="33"/>
      <c r="X547" s="17"/>
      <c r="Y547" s="17"/>
    </row>
    <row r="548" spans="1:25" ht="13" x14ac:dyDescent="0.15">
      <c r="A548" s="15"/>
      <c r="B548" s="26"/>
      <c r="C548" s="27"/>
      <c r="D548" s="26"/>
      <c r="E548" s="28"/>
      <c r="F548" s="29"/>
      <c r="G548" s="29"/>
      <c r="H548" s="30"/>
      <c r="I548" s="29"/>
      <c r="J548" s="29"/>
      <c r="K548" s="29"/>
      <c r="L548" s="29"/>
      <c r="M548" s="29"/>
      <c r="N548" s="29"/>
      <c r="O548" s="29"/>
      <c r="P548" s="29"/>
      <c r="Q548" s="29"/>
      <c r="R548" s="30"/>
      <c r="S548" s="84"/>
      <c r="T548" s="84"/>
      <c r="U548" s="31"/>
      <c r="V548" s="32"/>
      <c r="W548" s="33"/>
      <c r="X548" s="17"/>
      <c r="Y548" s="17"/>
    </row>
    <row r="549" spans="1:25" ht="13" x14ac:dyDescent="0.15">
      <c r="A549" s="15"/>
      <c r="B549" s="26"/>
      <c r="C549" s="27"/>
      <c r="D549" s="26"/>
      <c r="E549" s="28"/>
      <c r="F549" s="29"/>
      <c r="G549" s="29"/>
      <c r="H549" s="30"/>
      <c r="I549" s="29"/>
      <c r="J549" s="29"/>
      <c r="K549" s="29"/>
      <c r="L549" s="29"/>
      <c r="M549" s="29"/>
      <c r="N549" s="29"/>
      <c r="O549" s="29"/>
      <c r="P549" s="29"/>
      <c r="Q549" s="29"/>
      <c r="R549" s="30"/>
      <c r="S549" s="84"/>
      <c r="T549" s="84"/>
      <c r="U549" s="31"/>
      <c r="V549" s="32"/>
      <c r="W549" s="33"/>
      <c r="X549" s="17"/>
      <c r="Y549" s="17"/>
    </row>
    <row r="550" spans="1:25" ht="13" x14ac:dyDescent="0.15">
      <c r="A550" s="15"/>
      <c r="B550" s="26"/>
      <c r="C550" s="27"/>
      <c r="D550" s="26"/>
      <c r="E550" s="28"/>
      <c r="F550" s="29"/>
      <c r="G550" s="29"/>
      <c r="H550" s="30"/>
      <c r="I550" s="29"/>
      <c r="J550" s="29"/>
      <c r="K550" s="29"/>
      <c r="L550" s="29"/>
      <c r="M550" s="29"/>
      <c r="N550" s="29"/>
      <c r="O550" s="29"/>
      <c r="P550" s="29"/>
      <c r="Q550" s="29"/>
      <c r="R550" s="30"/>
      <c r="S550" s="84"/>
      <c r="T550" s="84"/>
      <c r="U550" s="31"/>
      <c r="V550" s="32"/>
      <c r="W550" s="33"/>
      <c r="X550" s="17"/>
      <c r="Y550" s="17"/>
    </row>
    <row r="551" spans="1:25" ht="13" x14ac:dyDescent="0.15">
      <c r="A551" s="15"/>
      <c r="B551" s="26"/>
      <c r="C551" s="27"/>
      <c r="D551" s="26"/>
      <c r="E551" s="28"/>
      <c r="F551" s="29"/>
      <c r="G551" s="29"/>
      <c r="H551" s="30"/>
      <c r="I551" s="29"/>
      <c r="J551" s="29"/>
      <c r="K551" s="29"/>
      <c r="L551" s="29"/>
      <c r="M551" s="29"/>
      <c r="N551" s="29"/>
      <c r="O551" s="29"/>
      <c r="P551" s="29"/>
      <c r="Q551" s="29"/>
      <c r="R551" s="30"/>
      <c r="S551" s="84"/>
      <c r="T551" s="84"/>
      <c r="U551" s="31"/>
      <c r="V551" s="32"/>
      <c r="W551" s="33"/>
      <c r="X551" s="17"/>
      <c r="Y551" s="17"/>
    </row>
    <row r="552" spans="1:25" ht="13" x14ac:dyDescent="0.15">
      <c r="A552" s="15"/>
      <c r="B552" s="26"/>
      <c r="C552" s="27"/>
      <c r="D552" s="26"/>
      <c r="E552" s="28"/>
      <c r="F552" s="29"/>
      <c r="G552" s="29"/>
      <c r="H552" s="30"/>
      <c r="I552" s="29"/>
      <c r="J552" s="29"/>
      <c r="K552" s="29"/>
      <c r="L552" s="29"/>
      <c r="M552" s="29"/>
      <c r="N552" s="29"/>
      <c r="O552" s="29"/>
      <c r="P552" s="29"/>
      <c r="Q552" s="29"/>
      <c r="R552" s="30"/>
      <c r="S552" s="84"/>
      <c r="T552" s="84"/>
      <c r="U552" s="31"/>
      <c r="V552" s="32"/>
      <c r="W552" s="33"/>
      <c r="X552" s="17"/>
      <c r="Y552" s="17"/>
    </row>
    <row r="553" spans="1:25" ht="13" x14ac:dyDescent="0.15">
      <c r="A553" s="15"/>
      <c r="B553" s="26"/>
      <c r="C553" s="27"/>
      <c r="D553" s="26"/>
      <c r="E553" s="28"/>
      <c r="F553" s="29"/>
      <c r="G553" s="29"/>
      <c r="H553" s="30"/>
      <c r="I553" s="29"/>
      <c r="J553" s="29"/>
      <c r="K553" s="29"/>
      <c r="L553" s="29"/>
      <c r="M553" s="29"/>
      <c r="N553" s="29"/>
      <c r="O553" s="29"/>
      <c r="P553" s="29"/>
      <c r="Q553" s="29"/>
      <c r="R553" s="30"/>
      <c r="S553" s="84"/>
      <c r="T553" s="84"/>
      <c r="U553" s="31"/>
      <c r="V553" s="32"/>
      <c r="W553" s="33"/>
      <c r="X553" s="17"/>
      <c r="Y553" s="17"/>
    </row>
    <row r="554" spans="1:25" ht="13" x14ac:dyDescent="0.15">
      <c r="A554" s="15"/>
      <c r="B554" s="26"/>
      <c r="C554" s="27"/>
      <c r="D554" s="26"/>
      <c r="E554" s="28"/>
      <c r="F554" s="29"/>
      <c r="G554" s="29"/>
      <c r="H554" s="30"/>
      <c r="I554" s="29"/>
      <c r="J554" s="29"/>
      <c r="K554" s="29"/>
      <c r="L554" s="29"/>
      <c r="M554" s="29"/>
      <c r="N554" s="29"/>
      <c r="O554" s="29"/>
      <c r="P554" s="29"/>
      <c r="Q554" s="29"/>
      <c r="R554" s="30"/>
      <c r="S554" s="84"/>
      <c r="T554" s="84"/>
      <c r="U554" s="31"/>
      <c r="V554" s="32"/>
      <c r="W554" s="33"/>
      <c r="X554" s="17"/>
      <c r="Y554" s="17"/>
    </row>
    <row r="555" spans="1:25" ht="13" x14ac:dyDescent="0.15">
      <c r="A555" s="15"/>
      <c r="B555" s="26"/>
      <c r="C555" s="27"/>
      <c r="D555" s="26"/>
      <c r="E555" s="28"/>
      <c r="F555" s="29"/>
      <c r="G555" s="29"/>
      <c r="H555" s="30"/>
      <c r="I555" s="29"/>
      <c r="J555" s="29"/>
      <c r="K555" s="29"/>
      <c r="L555" s="29"/>
      <c r="M555" s="29"/>
      <c r="N555" s="29"/>
      <c r="O555" s="29"/>
      <c r="P555" s="29"/>
      <c r="Q555" s="29"/>
      <c r="R555" s="30"/>
      <c r="S555" s="84"/>
      <c r="T555" s="84"/>
      <c r="U555" s="31"/>
      <c r="V555" s="32"/>
      <c r="W555" s="33"/>
      <c r="X555" s="17"/>
      <c r="Y555" s="17"/>
    </row>
    <row r="556" spans="1:25" ht="13" x14ac:dyDescent="0.15">
      <c r="A556" s="15"/>
      <c r="B556" s="26"/>
      <c r="C556" s="27"/>
      <c r="D556" s="26"/>
      <c r="E556" s="28"/>
      <c r="F556" s="29"/>
      <c r="G556" s="29"/>
      <c r="H556" s="30"/>
      <c r="I556" s="29"/>
      <c r="J556" s="29"/>
      <c r="K556" s="29"/>
      <c r="L556" s="29"/>
      <c r="M556" s="29"/>
      <c r="N556" s="29"/>
      <c r="O556" s="29"/>
      <c r="P556" s="29"/>
      <c r="Q556" s="29"/>
      <c r="R556" s="30"/>
      <c r="S556" s="84"/>
      <c r="T556" s="84"/>
      <c r="U556" s="31"/>
      <c r="V556" s="32"/>
      <c r="W556" s="33"/>
      <c r="X556" s="17"/>
      <c r="Y556" s="17"/>
    </row>
    <row r="557" spans="1:25" ht="13" x14ac:dyDescent="0.15">
      <c r="A557" s="15"/>
      <c r="B557" s="26"/>
      <c r="C557" s="27"/>
      <c r="D557" s="26"/>
      <c r="E557" s="28"/>
      <c r="F557" s="29"/>
      <c r="G557" s="29"/>
      <c r="H557" s="30"/>
      <c r="I557" s="29"/>
      <c r="J557" s="29"/>
      <c r="K557" s="29"/>
      <c r="L557" s="29"/>
      <c r="M557" s="29"/>
      <c r="N557" s="29"/>
      <c r="O557" s="29"/>
      <c r="P557" s="29"/>
      <c r="Q557" s="29"/>
      <c r="R557" s="30"/>
      <c r="S557" s="84"/>
      <c r="T557" s="84"/>
      <c r="U557" s="31"/>
      <c r="V557" s="32"/>
      <c r="W557" s="33"/>
      <c r="X557" s="17"/>
      <c r="Y557" s="17"/>
    </row>
    <row r="558" spans="1:25" ht="13" x14ac:dyDescent="0.15">
      <c r="A558" s="15"/>
      <c r="B558" s="26"/>
      <c r="C558" s="27"/>
      <c r="D558" s="26"/>
      <c r="E558" s="28"/>
      <c r="F558" s="29"/>
      <c r="G558" s="29"/>
      <c r="H558" s="30"/>
      <c r="I558" s="29"/>
      <c r="J558" s="29"/>
      <c r="K558" s="29"/>
      <c r="L558" s="29"/>
      <c r="M558" s="29"/>
      <c r="N558" s="29"/>
      <c r="O558" s="29"/>
      <c r="P558" s="29"/>
      <c r="Q558" s="29"/>
      <c r="R558" s="30"/>
      <c r="S558" s="84"/>
      <c r="T558" s="84"/>
      <c r="U558" s="31"/>
      <c r="V558" s="32"/>
      <c r="W558" s="33"/>
      <c r="X558" s="17"/>
      <c r="Y558" s="17"/>
    </row>
    <row r="559" spans="1:25" ht="13" x14ac:dyDescent="0.15">
      <c r="A559" s="15"/>
      <c r="B559" s="26"/>
      <c r="C559" s="27"/>
      <c r="D559" s="26"/>
      <c r="E559" s="28"/>
      <c r="F559" s="29"/>
      <c r="G559" s="29"/>
      <c r="H559" s="30"/>
      <c r="I559" s="29"/>
      <c r="J559" s="29"/>
      <c r="K559" s="29"/>
      <c r="L559" s="29"/>
      <c r="M559" s="29"/>
      <c r="N559" s="29"/>
      <c r="O559" s="29"/>
      <c r="P559" s="29"/>
      <c r="Q559" s="29"/>
      <c r="R559" s="30"/>
      <c r="S559" s="84"/>
      <c r="T559" s="84"/>
      <c r="U559" s="31"/>
      <c r="V559" s="32"/>
      <c r="W559" s="33"/>
      <c r="X559" s="17"/>
      <c r="Y559" s="17"/>
    </row>
    <row r="560" spans="1:25" ht="13" x14ac:dyDescent="0.15">
      <c r="A560" s="15"/>
      <c r="B560" s="26"/>
      <c r="C560" s="27"/>
      <c r="D560" s="26"/>
      <c r="E560" s="28"/>
      <c r="F560" s="29"/>
      <c r="G560" s="29"/>
      <c r="H560" s="30"/>
      <c r="I560" s="29"/>
      <c r="J560" s="29"/>
      <c r="K560" s="29"/>
      <c r="L560" s="29"/>
      <c r="M560" s="29"/>
      <c r="N560" s="29"/>
      <c r="O560" s="29"/>
      <c r="P560" s="29"/>
      <c r="Q560" s="29"/>
      <c r="R560" s="30"/>
      <c r="S560" s="84"/>
      <c r="T560" s="84"/>
      <c r="U560" s="31"/>
      <c r="V560" s="32"/>
      <c r="W560" s="33"/>
      <c r="X560" s="17"/>
      <c r="Y560" s="17"/>
    </row>
    <row r="561" spans="1:25" ht="13" x14ac:dyDescent="0.15">
      <c r="A561" s="15"/>
      <c r="B561" s="26"/>
      <c r="C561" s="27"/>
      <c r="D561" s="26"/>
      <c r="E561" s="28"/>
      <c r="F561" s="29"/>
      <c r="G561" s="29"/>
      <c r="H561" s="30"/>
      <c r="I561" s="29"/>
      <c r="J561" s="29"/>
      <c r="K561" s="29"/>
      <c r="L561" s="29"/>
      <c r="M561" s="29"/>
      <c r="N561" s="29"/>
      <c r="O561" s="29"/>
      <c r="P561" s="29"/>
      <c r="Q561" s="29"/>
      <c r="R561" s="30"/>
      <c r="S561" s="84"/>
      <c r="T561" s="84"/>
      <c r="U561" s="31"/>
      <c r="V561" s="32"/>
      <c r="W561" s="33"/>
      <c r="X561" s="17"/>
      <c r="Y561" s="17"/>
    </row>
    <row r="562" spans="1:25" ht="13" x14ac:dyDescent="0.15">
      <c r="A562" s="15"/>
      <c r="B562" s="26"/>
      <c r="C562" s="27"/>
      <c r="D562" s="26"/>
      <c r="E562" s="28"/>
      <c r="F562" s="29"/>
      <c r="G562" s="29"/>
      <c r="H562" s="30"/>
      <c r="I562" s="29"/>
      <c r="J562" s="29"/>
      <c r="K562" s="29"/>
      <c r="L562" s="29"/>
      <c r="M562" s="29"/>
      <c r="N562" s="29"/>
      <c r="O562" s="29"/>
      <c r="P562" s="29"/>
      <c r="Q562" s="29"/>
      <c r="R562" s="30"/>
      <c r="S562" s="84"/>
      <c r="T562" s="84"/>
      <c r="U562" s="31"/>
      <c r="V562" s="32"/>
      <c r="W562" s="33"/>
      <c r="X562" s="17"/>
      <c r="Y562" s="17"/>
    </row>
    <row r="563" spans="1:25" ht="13" x14ac:dyDescent="0.15">
      <c r="A563" s="15"/>
      <c r="B563" s="26"/>
      <c r="C563" s="27"/>
      <c r="D563" s="26"/>
      <c r="E563" s="28"/>
      <c r="F563" s="29"/>
      <c r="G563" s="29"/>
      <c r="H563" s="30"/>
      <c r="I563" s="29"/>
      <c r="J563" s="29"/>
      <c r="K563" s="29"/>
      <c r="L563" s="29"/>
      <c r="M563" s="29"/>
      <c r="N563" s="29"/>
      <c r="O563" s="29"/>
      <c r="P563" s="29"/>
      <c r="Q563" s="29"/>
      <c r="R563" s="30"/>
      <c r="S563" s="84"/>
      <c r="T563" s="84"/>
      <c r="U563" s="31"/>
      <c r="V563" s="32"/>
      <c r="W563" s="33"/>
      <c r="X563" s="17"/>
      <c r="Y563" s="17"/>
    </row>
    <row r="564" spans="1:25" ht="13" x14ac:dyDescent="0.15">
      <c r="A564" s="15"/>
      <c r="B564" s="26"/>
      <c r="C564" s="27"/>
      <c r="D564" s="26"/>
      <c r="E564" s="28"/>
      <c r="F564" s="29"/>
      <c r="G564" s="29"/>
      <c r="H564" s="30"/>
      <c r="I564" s="29"/>
      <c r="J564" s="29"/>
      <c r="K564" s="29"/>
      <c r="L564" s="29"/>
      <c r="M564" s="29"/>
      <c r="N564" s="29"/>
      <c r="O564" s="29"/>
      <c r="P564" s="29"/>
      <c r="Q564" s="29"/>
      <c r="R564" s="30"/>
      <c r="S564" s="84"/>
      <c r="T564" s="84"/>
      <c r="U564" s="31"/>
      <c r="V564" s="32"/>
      <c r="W564" s="33"/>
      <c r="X564" s="17"/>
      <c r="Y564" s="17"/>
    </row>
    <row r="565" spans="1:25" ht="13" x14ac:dyDescent="0.15">
      <c r="A565" s="15"/>
      <c r="B565" s="26"/>
      <c r="C565" s="27"/>
      <c r="D565" s="26"/>
      <c r="E565" s="28"/>
      <c r="F565" s="29"/>
      <c r="G565" s="29"/>
      <c r="H565" s="30"/>
      <c r="I565" s="29"/>
      <c r="J565" s="29"/>
      <c r="K565" s="29"/>
      <c r="L565" s="29"/>
      <c r="M565" s="29"/>
      <c r="N565" s="29"/>
      <c r="O565" s="29"/>
      <c r="P565" s="29"/>
      <c r="Q565" s="29"/>
      <c r="R565" s="30"/>
      <c r="S565" s="84"/>
      <c r="T565" s="84"/>
      <c r="U565" s="31"/>
      <c r="V565" s="32"/>
      <c r="W565" s="33"/>
      <c r="X565" s="17"/>
      <c r="Y565" s="17"/>
    </row>
    <row r="566" spans="1:25" ht="13" x14ac:dyDescent="0.15">
      <c r="A566" s="15"/>
      <c r="B566" s="26"/>
      <c r="C566" s="27"/>
      <c r="D566" s="26"/>
      <c r="E566" s="28"/>
      <c r="F566" s="29"/>
      <c r="G566" s="29"/>
      <c r="H566" s="30"/>
      <c r="I566" s="29"/>
      <c r="J566" s="29"/>
      <c r="K566" s="29"/>
      <c r="L566" s="29"/>
      <c r="M566" s="29"/>
      <c r="N566" s="29"/>
      <c r="O566" s="29"/>
      <c r="P566" s="29"/>
      <c r="Q566" s="29"/>
      <c r="R566" s="30"/>
      <c r="S566" s="84"/>
      <c r="T566" s="84"/>
      <c r="U566" s="31"/>
      <c r="V566" s="32"/>
      <c r="W566" s="33"/>
      <c r="X566" s="17"/>
      <c r="Y566" s="17"/>
    </row>
    <row r="567" spans="1:25" ht="13" x14ac:dyDescent="0.15">
      <c r="A567" s="15"/>
      <c r="B567" s="26"/>
      <c r="C567" s="27"/>
      <c r="D567" s="26"/>
      <c r="E567" s="28"/>
      <c r="F567" s="29"/>
      <c r="G567" s="29"/>
      <c r="H567" s="30"/>
      <c r="I567" s="29"/>
      <c r="J567" s="29"/>
      <c r="K567" s="29"/>
      <c r="L567" s="29"/>
      <c r="M567" s="29"/>
      <c r="N567" s="29"/>
      <c r="O567" s="29"/>
      <c r="P567" s="29"/>
      <c r="Q567" s="29"/>
      <c r="R567" s="30"/>
      <c r="S567" s="84"/>
      <c r="T567" s="84"/>
      <c r="U567" s="31"/>
      <c r="V567" s="32"/>
      <c r="W567" s="33"/>
      <c r="X567" s="17"/>
      <c r="Y567" s="17"/>
    </row>
    <row r="568" spans="1:25" ht="13" x14ac:dyDescent="0.15">
      <c r="A568" s="15"/>
      <c r="B568" s="26"/>
      <c r="C568" s="27"/>
      <c r="D568" s="26"/>
      <c r="E568" s="28"/>
      <c r="F568" s="29"/>
      <c r="G568" s="29"/>
      <c r="H568" s="30"/>
      <c r="I568" s="29"/>
      <c r="J568" s="29"/>
      <c r="K568" s="29"/>
      <c r="L568" s="29"/>
      <c r="M568" s="29"/>
      <c r="N568" s="29"/>
      <c r="O568" s="29"/>
      <c r="P568" s="29"/>
      <c r="Q568" s="29"/>
      <c r="R568" s="30"/>
      <c r="S568" s="84"/>
      <c r="T568" s="84"/>
      <c r="U568" s="31"/>
      <c r="V568" s="32"/>
      <c r="W568" s="33"/>
      <c r="X568" s="17"/>
      <c r="Y568" s="17"/>
    </row>
    <row r="569" spans="1:25" ht="13" x14ac:dyDescent="0.15">
      <c r="A569" s="15"/>
      <c r="B569" s="26"/>
      <c r="C569" s="27"/>
      <c r="D569" s="26"/>
      <c r="E569" s="28"/>
      <c r="F569" s="29"/>
      <c r="G569" s="29"/>
      <c r="H569" s="30"/>
      <c r="I569" s="29"/>
      <c r="J569" s="29"/>
      <c r="K569" s="29"/>
      <c r="L569" s="29"/>
      <c r="M569" s="29"/>
      <c r="N569" s="29"/>
      <c r="O569" s="29"/>
      <c r="P569" s="29"/>
      <c r="Q569" s="29"/>
      <c r="R569" s="30"/>
      <c r="S569" s="84"/>
      <c r="T569" s="84"/>
      <c r="U569" s="31"/>
      <c r="V569" s="32"/>
      <c r="W569" s="33"/>
      <c r="X569" s="17"/>
      <c r="Y569" s="17"/>
    </row>
    <row r="570" spans="1:25" ht="13" x14ac:dyDescent="0.15">
      <c r="A570" s="15"/>
      <c r="B570" s="26"/>
      <c r="C570" s="27"/>
      <c r="D570" s="26"/>
      <c r="E570" s="28"/>
      <c r="F570" s="29"/>
      <c r="G570" s="29"/>
      <c r="H570" s="30"/>
      <c r="I570" s="29"/>
      <c r="J570" s="29"/>
      <c r="K570" s="29"/>
      <c r="L570" s="29"/>
      <c r="M570" s="29"/>
      <c r="N570" s="29"/>
      <c r="O570" s="29"/>
      <c r="P570" s="29"/>
      <c r="Q570" s="29"/>
      <c r="R570" s="30"/>
      <c r="S570" s="84"/>
      <c r="T570" s="84"/>
      <c r="U570" s="31"/>
      <c r="V570" s="32"/>
      <c r="W570" s="33"/>
      <c r="X570" s="17"/>
      <c r="Y570" s="17"/>
    </row>
    <row r="571" spans="1:25" ht="13" x14ac:dyDescent="0.15">
      <c r="A571" s="15"/>
      <c r="B571" s="26"/>
      <c r="C571" s="27"/>
      <c r="D571" s="26"/>
      <c r="E571" s="28"/>
      <c r="F571" s="29"/>
      <c r="G571" s="29"/>
      <c r="H571" s="30"/>
      <c r="I571" s="29"/>
      <c r="J571" s="29"/>
      <c r="K571" s="29"/>
      <c r="L571" s="29"/>
      <c r="M571" s="29"/>
      <c r="N571" s="29"/>
      <c r="O571" s="29"/>
      <c r="P571" s="29"/>
      <c r="Q571" s="29"/>
      <c r="R571" s="30"/>
      <c r="S571" s="84"/>
      <c r="T571" s="84"/>
      <c r="U571" s="31"/>
      <c r="V571" s="32"/>
      <c r="W571" s="33"/>
      <c r="X571" s="17"/>
      <c r="Y571" s="17"/>
    </row>
    <row r="572" spans="1:25" ht="13" x14ac:dyDescent="0.15">
      <c r="A572" s="15"/>
      <c r="B572" s="26"/>
      <c r="C572" s="27"/>
      <c r="D572" s="26"/>
      <c r="E572" s="28"/>
      <c r="F572" s="29"/>
      <c r="G572" s="29"/>
      <c r="H572" s="30"/>
      <c r="I572" s="29"/>
      <c r="J572" s="29"/>
      <c r="K572" s="29"/>
      <c r="L572" s="29"/>
      <c r="M572" s="29"/>
      <c r="N572" s="29"/>
      <c r="O572" s="29"/>
      <c r="P572" s="29"/>
      <c r="Q572" s="29"/>
      <c r="R572" s="30"/>
      <c r="S572" s="84"/>
      <c r="T572" s="84"/>
      <c r="U572" s="31"/>
      <c r="V572" s="32"/>
      <c r="W572" s="33"/>
      <c r="X572" s="17"/>
      <c r="Y572" s="17"/>
    </row>
    <row r="573" spans="1:25" ht="13" x14ac:dyDescent="0.15">
      <c r="A573" s="15"/>
      <c r="B573" s="26"/>
      <c r="C573" s="27"/>
      <c r="D573" s="26"/>
      <c r="E573" s="28"/>
      <c r="F573" s="29"/>
      <c r="G573" s="29"/>
      <c r="H573" s="30"/>
      <c r="I573" s="29"/>
      <c r="J573" s="29"/>
      <c r="K573" s="29"/>
      <c r="L573" s="29"/>
      <c r="M573" s="29"/>
      <c r="N573" s="29"/>
      <c r="O573" s="29"/>
      <c r="P573" s="29"/>
      <c r="Q573" s="29"/>
      <c r="R573" s="30"/>
      <c r="S573" s="84"/>
      <c r="T573" s="84"/>
      <c r="U573" s="31"/>
      <c r="V573" s="32"/>
      <c r="W573" s="33"/>
      <c r="X573" s="17"/>
      <c r="Y573" s="17"/>
    </row>
    <row r="574" spans="1:25" ht="13" x14ac:dyDescent="0.15">
      <c r="A574" s="15"/>
      <c r="B574" s="26"/>
      <c r="C574" s="27"/>
      <c r="D574" s="26"/>
      <c r="E574" s="28"/>
      <c r="F574" s="29"/>
      <c r="G574" s="29"/>
      <c r="H574" s="30"/>
      <c r="I574" s="29"/>
      <c r="J574" s="29"/>
      <c r="K574" s="29"/>
      <c r="L574" s="29"/>
      <c r="M574" s="29"/>
      <c r="N574" s="29"/>
      <c r="O574" s="29"/>
      <c r="P574" s="29"/>
      <c r="Q574" s="29"/>
      <c r="R574" s="30"/>
      <c r="S574" s="84"/>
      <c r="T574" s="84"/>
      <c r="U574" s="31"/>
      <c r="V574" s="32"/>
      <c r="W574" s="33"/>
      <c r="X574" s="17"/>
      <c r="Y574" s="17"/>
    </row>
    <row r="575" spans="1:25" ht="13" x14ac:dyDescent="0.15">
      <c r="A575" s="15"/>
      <c r="B575" s="26"/>
      <c r="C575" s="27"/>
      <c r="D575" s="26"/>
      <c r="E575" s="28"/>
      <c r="F575" s="29"/>
      <c r="G575" s="29"/>
      <c r="H575" s="30"/>
      <c r="I575" s="29"/>
      <c r="J575" s="29"/>
      <c r="K575" s="29"/>
      <c r="L575" s="29"/>
      <c r="M575" s="29"/>
      <c r="N575" s="29"/>
      <c r="O575" s="29"/>
      <c r="P575" s="29"/>
      <c r="Q575" s="29"/>
      <c r="R575" s="30"/>
      <c r="S575" s="84"/>
      <c r="T575" s="84"/>
      <c r="U575" s="31"/>
      <c r="V575" s="32"/>
      <c r="W575" s="33"/>
      <c r="X575" s="17"/>
      <c r="Y575" s="17"/>
    </row>
    <row r="576" spans="1:25" ht="13" x14ac:dyDescent="0.15">
      <c r="A576" s="15"/>
      <c r="B576" s="26"/>
      <c r="C576" s="27"/>
      <c r="D576" s="26"/>
      <c r="E576" s="28"/>
      <c r="F576" s="29"/>
      <c r="G576" s="29"/>
      <c r="H576" s="30"/>
      <c r="I576" s="29"/>
      <c r="J576" s="29"/>
      <c r="K576" s="29"/>
      <c r="L576" s="29"/>
      <c r="M576" s="29"/>
      <c r="N576" s="29"/>
      <c r="O576" s="29"/>
      <c r="P576" s="29"/>
      <c r="Q576" s="29"/>
      <c r="R576" s="30"/>
      <c r="S576" s="84"/>
      <c r="T576" s="84"/>
      <c r="U576" s="31"/>
      <c r="V576" s="32"/>
      <c r="W576" s="33"/>
      <c r="X576" s="17"/>
      <c r="Y576" s="17"/>
    </row>
    <row r="577" spans="1:25" ht="13" x14ac:dyDescent="0.15">
      <c r="A577" s="15"/>
      <c r="B577" s="26"/>
      <c r="C577" s="27"/>
      <c r="D577" s="26"/>
      <c r="E577" s="28"/>
      <c r="F577" s="29"/>
      <c r="G577" s="29"/>
      <c r="H577" s="30"/>
      <c r="I577" s="29"/>
      <c r="J577" s="29"/>
      <c r="K577" s="29"/>
      <c r="L577" s="29"/>
      <c r="M577" s="29"/>
      <c r="N577" s="29"/>
      <c r="O577" s="29"/>
      <c r="P577" s="29"/>
      <c r="Q577" s="29"/>
      <c r="R577" s="30"/>
      <c r="S577" s="84"/>
      <c r="T577" s="84"/>
      <c r="U577" s="31"/>
      <c r="V577" s="32"/>
      <c r="W577" s="33"/>
      <c r="X577" s="17"/>
      <c r="Y577" s="17"/>
    </row>
    <row r="578" spans="1:25" ht="13" x14ac:dyDescent="0.15">
      <c r="A578" s="15"/>
      <c r="B578" s="26"/>
      <c r="C578" s="27"/>
      <c r="D578" s="26"/>
      <c r="E578" s="28"/>
      <c r="F578" s="29"/>
      <c r="G578" s="29"/>
      <c r="H578" s="30"/>
      <c r="I578" s="29"/>
      <c r="J578" s="29"/>
      <c r="K578" s="29"/>
      <c r="L578" s="29"/>
      <c r="M578" s="29"/>
      <c r="N578" s="29"/>
      <c r="O578" s="29"/>
      <c r="P578" s="29"/>
      <c r="Q578" s="29"/>
      <c r="R578" s="30"/>
      <c r="S578" s="84"/>
      <c r="T578" s="84"/>
      <c r="U578" s="31"/>
      <c r="V578" s="32"/>
      <c r="W578" s="33"/>
      <c r="X578" s="17"/>
      <c r="Y578" s="17"/>
    </row>
    <row r="579" spans="1:25" ht="13" x14ac:dyDescent="0.15">
      <c r="A579" s="15"/>
      <c r="B579" s="26"/>
      <c r="C579" s="27"/>
      <c r="D579" s="26"/>
      <c r="E579" s="28"/>
      <c r="F579" s="29"/>
      <c r="G579" s="29"/>
      <c r="H579" s="30"/>
      <c r="I579" s="29"/>
      <c r="J579" s="29"/>
      <c r="K579" s="29"/>
      <c r="L579" s="29"/>
      <c r="M579" s="29"/>
      <c r="N579" s="29"/>
      <c r="O579" s="29"/>
      <c r="P579" s="29"/>
      <c r="Q579" s="29"/>
      <c r="R579" s="30"/>
      <c r="S579" s="84"/>
      <c r="T579" s="84"/>
      <c r="U579" s="31"/>
      <c r="V579" s="32"/>
      <c r="W579" s="33"/>
      <c r="X579" s="17"/>
      <c r="Y579" s="17"/>
    </row>
    <row r="580" spans="1:25" ht="13" x14ac:dyDescent="0.15">
      <c r="A580" s="15"/>
      <c r="B580" s="26"/>
      <c r="C580" s="27"/>
      <c r="D580" s="26"/>
      <c r="E580" s="28"/>
      <c r="F580" s="29"/>
      <c r="G580" s="29"/>
      <c r="H580" s="30"/>
      <c r="I580" s="29"/>
      <c r="J580" s="29"/>
      <c r="K580" s="29"/>
      <c r="L580" s="29"/>
      <c r="M580" s="29"/>
      <c r="N580" s="29"/>
      <c r="O580" s="29"/>
      <c r="P580" s="29"/>
      <c r="Q580" s="29"/>
      <c r="R580" s="30"/>
      <c r="S580" s="84"/>
      <c r="T580" s="84"/>
      <c r="U580" s="31"/>
      <c r="V580" s="32"/>
      <c r="W580" s="33"/>
      <c r="X580" s="17"/>
      <c r="Y580" s="17"/>
    </row>
    <row r="581" spans="1:25" ht="13" x14ac:dyDescent="0.15">
      <c r="A581" s="15"/>
      <c r="B581" s="26"/>
      <c r="C581" s="27"/>
      <c r="D581" s="26"/>
      <c r="E581" s="28"/>
      <c r="F581" s="29"/>
      <c r="G581" s="29"/>
      <c r="H581" s="30"/>
      <c r="I581" s="29"/>
      <c r="J581" s="29"/>
      <c r="K581" s="29"/>
      <c r="L581" s="29"/>
      <c r="M581" s="29"/>
      <c r="N581" s="29"/>
      <c r="O581" s="29"/>
      <c r="P581" s="29"/>
      <c r="Q581" s="29"/>
      <c r="R581" s="30"/>
      <c r="S581" s="84"/>
      <c r="T581" s="84"/>
      <c r="U581" s="31"/>
      <c r="V581" s="32"/>
      <c r="W581" s="33"/>
      <c r="X581" s="17"/>
      <c r="Y581" s="17"/>
    </row>
    <row r="582" spans="1:25" ht="13" x14ac:dyDescent="0.15">
      <c r="A582" s="15"/>
      <c r="B582" s="26"/>
      <c r="C582" s="27"/>
      <c r="D582" s="26"/>
      <c r="E582" s="28"/>
      <c r="F582" s="29"/>
      <c r="G582" s="29"/>
      <c r="H582" s="30"/>
      <c r="I582" s="29"/>
      <c r="J582" s="29"/>
      <c r="K582" s="29"/>
      <c r="L582" s="29"/>
      <c r="M582" s="29"/>
      <c r="N582" s="29"/>
      <c r="O582" s="29"/>
      <c r="P582" s="29"/>
      <c r="Q582" s="29"/>
      <c r="R582" s="30"/>
      <c r="S582" s="84"/>
      <c r="T582" s="84"/>
      <c r="U582" s="31"/>
      <c r="V582" s="32"/>
      <c r="W582" s="33"/>
      <c r="X582" s="17"/>
      <c r="Y582" s="17"/>
    </row>
    <row r="583" spans="1:25" ht="13" x14ac:dyDescent="0.15">
      <c r="A583" s="15"/>
      <c r="B583" s="26"/>
      <c r="C583" s="27"/>
      <c r="D583" s="26"/>
      <c r="E583" s="28"/>
      <c r="F583" s="29"/>
      <c r="G583" s="29"/>
      <c r="H583" s="30"/>
      <c r="I583" s="29"/>
      <c r="J583" s="29"/>
      <c r="K583" s="29"/>
      <c r="L583" s="29"/>
      <c r="M583" s="29"/>
      <c r="N583" s="29"/>
      <c r="O583" s="29"/>
      <c r="P583" s="29"/>
      <c r="Q583" s="29"/>
      <c r="R583" s="30"/>
      <c r="S583" s="84"/>
      <c r="T583" s="84"/>
      <c r="U583" s="31"/>
      <c r="V583" s="32"/>
      <c r="W583" s="33"/>
      <c r="X583" s="17"/>
      <c r="Y583" s="17"/>
    </row>
    <row r="584" spans="1:25" ht="13" x14ac:dyDescent="0.15">
      <c r="A584" s="15"/>
      <c r="B584" s="26"/>
      <c r="C584" s="27"/>
      <c r="D584" s="26"/>
      <c r="E584" s="28"/>
      <c r="F584" s="29"/>
      <c r="G584" s="29"/>
      <c r="H584" s="30"/>
      <c r="I584" s="29"/>
      <c r="J584" s="29"/>
      <c r="K584" s="29"/>
      <c r="L584" s="29"/>
      <c r="M584" s="29"/>
      <c r="N584" s="29"/>
      <c r="O584" s="29"/>
      <c r="P584" s="29"/>
      <c r="Q584" s="29"/>
      <c r="R584" s="30"/>
      <c r="S584" s="84"/>
      <c r="T584" s="84"/>
      <c r="U584" s="31"/>
      <c r="V584" s="32"/>
      <c r="W584" s="33"/>
      <c r="X584" s="17"/>
      <c r="Y584" s="17"/>
    </row>
    <row r="585" spans="1:25" ht="13" x14ac:dyDescent="0.15">
      <c r="A585" s="15"/>
      <c r="B585" s="26"/>
      <c r="C585" s="27"/>
      <c r="D585" s="26"/>
      <c r="E585" s="28"/>
      <c r="F585" s="29"/>
      <c r="G585" s="29"/>
      <c r="H585" s="30"/>
      <c r="I585" s="29"/>
      <c r="J585" s="29"/>
      <c r="K585" s="29"/>
      <c r="L585" s="29"/>
      <c r="M585" s="29"/>
      <c r="N585" s="29"/>
      <c r="O585" s="29"/>
      <c r="P585" s="29"/>
      <c r="Q585" s="29"/>
      <c r="R585" s="30"/>
      <c r="S585" s="84"/>
      <c r="T585" s="84"/>
      <c r="U585" s="31"/>
      <c r="V585" s="32"/>
      <c r="W585" s="33"/>
      <c r="X585" s="17"/>
      <c r="Y585" s="17"/>
    </row>
    <row r="586" spans="1:25" ht="13" x14ac:dyDescent="0.15">
      <c r="A586" s="15"/>
      <c r="B586" s="26"/>
      <c r="C586" s="27"/>
      <c r="D586" s="26"/>
      <c r="E586" s="28"/>
      <c r="F586" s="29"/>
      <c r="G586" s="29"/>
      <c r="H586" s="30"/>
      <c r="I586" s="29"/>
      <c r="J586" s="29"/>
      <c r="K586" s="29"/>
      <c r="L586" s="29"/>
      <c r="M586" s="29"/>
      <c r="N586" s="29"/>
      <c r="O586" s="29"/>
      <c r="P586" s="29"/>
      <c r="Q586" s="29"/>
      <c r="R586" s="30"/>
      <c r="S586" s="84"/>
      <c r="T586" s="84"/>
      <c r="U586" s="31"/>
      <c r="V586" s="32"/>
      <c r="W586" s="33"/>
      <c r="X586" s="17"/>
      <c r="Y586" s="17"/>
    </row>
    <row r="587" spans="1:25" ht="13" x14ac:dyDescent="0.15">
      <c r="A587" s="15"/>
      <c r="B587" s="26"/>
      <c r="C587" s="27"/>
      <c r="D587" s="26"/>
      <c r="E587" s="28"/>
      <c r="F587" s="29"/>
      <c r="G587" s="29"/>
      <c r="H587" s="30"/>
      <c r="I587" s="29"/>
      <c r="J587" s="29"/>
      <c r="K587" s="29"/>
      <c r="L587" s="29"/>
      <c r="M587" s="29"/>
      <c r="N587" s="29"/>
      <c r="O587" s="29"/>
      <c r="P587" s="29"/>
      <c r="Q587" s="29"/>
      <c r="R587" s="30"/>
      <c r="S587" s="84"/>
      <c r="T587" s="84"/>
      <c r="U587" s="31"/>
      <c r="V587" s="32"/>
      <c r="W587" s="33"/>
      <c r="X587" s="17"/>
      <c r="Y587" s="17"/>
    </row>
    <row r="588" spans="1:25" ht="13" x14ac:dyDescent="0.15">
      <c r="A588" s="15"/>
      <c r="B588" s="26"/>
      <c r="C588" s="27"/>
      <c r="D588" s="26"/>
      <c r="E588" s="28"/>
      <c r="F588" s="29"/>
      <c r="G588" s="29"/>
      <c r="H588" s="30"/>
      <c r="I588" s="29"/>
      <c r="J588" s="29"/>
      <c r="K588" s="29"/>
      <c r="L588" s="29"/>
      <c r="M588" s="29"/>
      <c r="N588" s="29"/>
      <c r="O588" s="29"/>
      <c r="P588" s="29"/>
      <c r="Q588" s="29"/>
      <c r="R588" s="30"/>
      <c r="S588" s="84"/>
      <c r="T588" s="84"/>
      <c r="U588" s="31"/>
      <c r="V588" s="32"/>
      <c r="W588" s="33"/>
      <c r="X588" s="17"/>
      <c r="Y588" s="17"/>
    </row>
    <row r="589" spans="1:25" ht="13" x14ac:dyDescent="0.15">
      <c r="A589" s="15"/>
      <c r="B589" s="26"/>
      <c r="C589" s="27"/>
      <c r="D589" s="26"/>
      <c r="E589" s="28"/>
      <c r="F589" s="29"/>
      <c r="G589" s="29"/>
      <c r="H589" s="30"/>
      <c r="I589" s="29"/>
      <c r="J589" s="29"/>
      <c r="K589" s="29"/>
      <c r="L589" s="29"/>
      <c r="M589" s="29"/>
      <c r="N589" s="29"/>
      <c r="O589" s="29"/>
      <c r="P589" s="29"/>
      <c r="Q589" s="29"/>
      <c r="R589" s="30"/>
      <c r="S589" s="84"/>
      <c r="T589" s="84"/>
      <c r="U589" s="31"/>
      <c r="V589" s="32"/>
      <c r="W589" s="33"/>
      <c r="X589" s="17"/>
      <c r="Y589" s="17"/>
    </row>
    <row r="590" spans="1:25" ht="13" x14ac:dyDescent="0.15">
      <c r="A590" s="15"/>
      <c r="B590" s="26"/>
      <c r="C590" s="27"/>
      <c r="D590" s="26"/>
      <c r="E590" s="28"/>
      <c r="F590" s="29"/>
      <c r="G590" s="29"/>
      <c r="H590" s="30"/>
      <c r="I590" s="29"/>
      <c r="J590" s="29"/>
      <c r="K590" s="29"/>
      <c r="L590" s="29"/>
      <c r="M590" s="29"/>
      <c r="N590" s="29"/>
      <c r="O590" s="29"/>
      <c r="P590" s="29"/>
      <c r="Q590" s="29"/>
      <c r="R590" s="30"/>
      <c r="S590" s="84"/>
      <c r="T590" s="84"/>
      <c r="U590" s="31"/>
      <c r="V590" s="32"/>
      <c r="W590" s="33"/>
      <c r="X590" s="17"/>
      <c r="Y590" s="17"/>
    </row>
    <row r="591" spans="1:25" ht="13" x14ac:dyDescent="0.15">
      <c r="A591" s="15"/>
      <c r="B591" s="26"/>
      <c r="C591" s="27"/>
      <c r="D591" s="26"/>
      <c r="E591" s="28"/>
      <c r="F591" s="29"/>
      <c r="G591" s="29"/>
      <c r="H591" s="30"/>
      <c r="I591" s="29"/>
      <c r="J591" s="29"/>
      <c r="K591" s="29"/>
      <c r="L591" s="29"/>
      <c r="M591" s="29"/>
      <c r="N591" s="29"/>
      <c r="O591" s="29"/>
      <c r="P591" s="29"/>
      <c r="Q591" s="29"/>
      <c r="R591" s="30"/>
      <c r="S591" s="84"/>
      <c r="T591" s="84"/>
      <c r="U591" s="31"/>
      <c r="V591" s="32"/>
      <c r="W591" s="33"/>
      <c r="X591" s="17"/>
      <c r="Y591" s="17"/>
    </row>
    <row r="592" spans="1:25" ht="13" x14ac:dyDescent="0.15">
      <c r="A592" s="15"/>
      <c r="B592" s="26"/>
      <c r="C592" s="27"/>
      <c r="D592" s="26"/>
      <c r="E592" s="28"/>
      <c r="F592" s="29"/>
      <c r="G592" s="29"/>
      <c r="H592" s="30"/>
      <c r="I592" s="29"/>
      <c r="J592" s="29"/>
      <c r="K592" s="29"/>
      <c r="L592" s="29"/>
      <c r="M592" s="29"/>
      <c r="N592" s="29"/>
      <c r="O592" s="29"/>
      <c r="P592" s="29"/>
      <c r="Q592" s="29"/>
      <c r="R592" s="30"/>
      <c r="S592" s="84"/>
      <c r="T592" s="84"/>
      <c r="U592" s="31"/>
      <c r="V592" s="32"/>
      <c r="W592" s="33"/>
      <c r="X592" s="17"/>
      <c r="Y592" s="17"/>
    </row>
    <row r="593" spans="1:25" ht="13" x14ac:dyDescent="0.15">
      <c r="A593" s="15"/>
      <c r="B593" s="26"/>
      <c r="C593" s="27"/>
      <c r="D593" s="26"/>
      <c r="E593" s="28"/>
      <c r="F593" s="29"/>
      <c r="G593" s="29"/>
      <c r="H593" s="30"/>
      <c r="I593" s="29"/>
      <c r="J593" s="29"/>
      <c r="K593" s="29"/>
      <c r="L593" s="29"/>
      <c r="M593" s="29"/>
      <c r="N593" s="29"/>
      <c r="O593" s="29"/>
      <c r="P593" s="29"/>
      <c r="Q593" s="29"/>
      <c r="R593" s="30"/>
      <c r="S593" s="84"/>
      <c r="T593" s="84"/>
      <c r="U593" s="31"/>
      <c r="V593" s="32"/>
      <c r="W593" s="33"/>
      <c r="X593" s="17"/>
      <c r="Y593" s="17"/>
    </row>
    <row r="594" spans="1:25" ht="13" x14ac:dyDescent="0.15">
      <c r="A594" s="15"/>
      <c r="B594" s="26"/>
      <c r="C594" s="27"/>
      <c r="D594" s="26"/>
      <c r="E594" s="28"/>
      <c r="F594" s="29"/>
      <c r="G594" s="29"/>
      <c r="H594" s="30"/>
      <c r="I594" s="29"/>
      <c r="J594" s="29"/>
      <c r="K594" s="29"/>
      <c r="L594" s="29"/>
      <c r="M594" s="29"/>
      <c r="N594" s="29"/>
      <c r="O594" s="29"/>
      <c r="P594" s="29"/>
      <c r="Q594" s="29"/>
      <c r="R594" s="30"/>
      <c r="S594" s="84"/>
      <c r="T594" s="84"/>
      <c r="U594" s="31"/>
      <c r="V594" s="32"/>
      <c r="W594" s="33"/>
      <c r="X594" s="17"/>
      <c r="Y594" s="17"/>
    </row>
    <row r="595" spans="1:25" ht="13" x14ac:dyDescent="0.15">
      <c r="A595" s="15"/>
      <c r="B595" s="26"/>
      <c r="C595" s="27"/>
      <c r="D595" s="26"/>
      <c r="E595" s="28"/>
      <c r="F595" s="29"/>
      <c r="G595" s="29"/>
      <c r="H595" s="30"/>
      <c r="I595" s="29"/>
      <c r="J595" s="29"/>
      <c r="K595" s="29"/>
      <c r="L595" s="29"/>
      <c r="M595" s="29"/>
      <c r="N595" s="29"/>
      <c r="O595" s="29"/>
      <c r="P595" s="29"/>
      <c r="Q595" s="29"/>
      <c r="R595" s="30"/>
      <c r="S595" s="84"/>
      <c r="T595" s="84"/>
      <c r="U595" s="31"/>
      <c r="V595" s="32"/>
      <c r="W595" s="33"/>
      <c r="X595" s="17"/>
      <c r="Y595" s="17"/>
    </row>
    <row r="596" spans="1:25" ht="13" x14ac:dyDescent="0.15">
      <c r="A596" s="15"/>
      <c r="B596" s="26"/>
      <c r="C596" s="27"/>
      <c r="D596" s="26"/>
      <c r="E596" s="28"/>
      <c r="F596" s="29"/>
      <c r="G596" s="29"/>
      <c r="H596" s="30"/>
      <c r="I596" s="29"/>
      <c r="J596" s="29"/>
      <c r="K596" s="29"/>
      <c r="L596" s="29"/>
      <c r="M596" s="29"/>
      <c r="N596" s="29"/>
      <c r="O596" s="29"/>
      <c r="P596" s="29"/>
      <c r="Q596" s="29"/>
      <c r="R596" s="30"/>
      <c r="S596" s="84"/>
      <c r="T596" s="84"/>
      <c r="U596" s="31"/>
      <c r="V596" s="32"/>
      <c r="W596" s="33"/>
      <c r="X596" s="17"/>
      <c r="Y596" s="17"/>
    </row>
    <row r="597" spans="1:25" ht="13" x14ac:dyDescent="0.15">
      <c r="A597" s="15"/>
      <c r="B597" s="26"/>
      <c r="C597" s="27"/>
      <c r="D597" s="26"/>
      <c r="E597" s="28"/>
      <c r="F597" s="29"/>
      <c r="G597" s="29"/>
      <c r="H597" s="30"/>
      <c r="I597" s="29"/>
      <c r="J597" s="29"/>
      <c r="K597" s="29"/>
      <c r="L597" s="29"/>
      <c r="M597" s="29"/>
      <c r="N597" s="29"/>
      <c r="O597" s="29"/>
      <c r="P597" s="29"/>
      <c r="Q597" s="29"/>
      <c r="R597" s="30"/>
      <c r="S597" s="84"/>
      <c r="T597" s="84"/>
      <c r="U597" s="31"/>
      <c r="V597" s="32"/>
      <c r="W597" s="33"/>
      <c r="X597" s="17"/>
      <c r="Y597" s="17"/>
    </row>
    <row r="598" spans="1:25" ht="13" x14ac:dyDescent="0.15">
      <c r="A598" s="15"/>
      <c r="B598" s="26"/>
      <c r="C598" s="27"/>
      <c r="D598" s="26"/>
      <c r="E598" s="28"/>
      <c r="F598" s="29"/>
      <c r="G598" s="29"/>
      <c r="H598" s="30"/>
      <c r="I598" s="29"/>
      <c r="J598" s="29"/>
      <c r="K598" s="29"/>
      <c r="L598" s="29"/>
      <c r="M598" s="29"/>
      <c r="N598" s="29"/>
      <c r="O598" s="29"/>
      <c r="P598" s="29"/>
      <c r="Q598" s="29"/>
      <c r="R598" s="30"/>
      <c r="S598" s="84"/>
      <c r="T598" s="84"/>
      <c r="U598" s="31"/>
      <c r="V598" s="32"/>
      <c r="W598" s="33"/>
      <c r="X598" s="17"/>
      <c r="Y598" s="17"/>
    </row>
    <row r="599" spans="1:25" ht="13" x14ac:dyDescent="0.15">
      <c r="A599" s="15"/>
      <c r="B599" s="26"/>
      <c r="C599" s="27"/>
      <c r="D599" s="26"/>
      <c r="E599" s="28"/>
      <c r="F599" s="29"/>
      <c r="G599" s="29"/>
      <c r="H599" s="30"/>
      <c r="I599" s="29"/>
      <c r="J599" s="29"/>
      <c r="K599" s="29"/>
      <c r="L599" s="29"/>
      <c r="M599" s="29"/>
      <c r="N599" s="29"/>
      <c r="O599" s="29"/>
      <c r="P599" s="29"/>
      <c r="Q599" s="29"/>
      <c r="R599" s="30"/>
      <c r="S599" s="84"/>
      <c r="T599" s="84"/>
      <c r="U599" s="31"/>
      <c r="V599" s="32"/>
      <c r="W599" s="33"/>
      <c r="X599" s="17"/>
      <c r="Y599" s="17"/>
    </row>
    <row r="600" spans="1:25" ht="13" x14ac:dyDescent="0.15">
      <c r="A600" s="15"/>
      <c r="B600" s="26"/>
      <c r="C600" s="27"/>
      <c r="D600" s="26"/>
      <c r="E600" s="28"/>
      <c r="F600" s="29"/>
      <c r="G600" s="29"/>
      <c r="H600" s="30"/>
      <c r="I600" s="29"/>
      <c r="J600" s="29"/>
      <c r="K600" s="29"/>
      <c r="L600" s="29"/>
      <c r="M600" s="29"/>
      <c r="N600" s="29"/>
      <c r="O600" s="29"/>
      <c r="P600" s="29"/>
      <c r="Q600" s="29"/>
      <c r="R600" s="30"/>
      <c r="S600" s="84"/>
      <c r="T600" s="84"/>
      <c r="U600" s="31"/>
      <c r="V600" s="32"/>
      <c r="W600" s="33"/>
      <c r="X600" s="17"/>
      <c r="Y600" s="17"/>
    </row>
    <row r="601" spans="1:25" ht="13" x14ac:dyDescent="0.15">
      <c r="A601" s="15"/>
      <c r="B601" s="26"/>
      <c r="C601" s="27"/>
      <c r="D601" s="26"/>
      <c r="E601" s="28"/>
      <c r="F601" s="29"/>
      <c r="G601" s="29"/>
      <c r="H601" s="30"/>
      <c r="I601" s="29"/>
      <c r="J601" s="29"/>
      <c r="K601" s="29"/>
      <c r="L601" s="29"/>
      <c r="M601" s="29"/>
      <c r="N601" s="29"/>
      <c r="O601" s="29"/>
      <c r="P601" s="29"/>
      <c r="Q601" s="29"/>
      <c r="R601" s="30"/>
      <c r="S601" s="84"/>
      <c r="T601" s="84"/>
      <c r="U601" s="31"/>
      <c r="V601" s="32"/>
      <c r="W601" s="33"/>
      <c r="X601" s="17"/>
      <c r="Y601" s="17"/>
    </row>
    <row r="602" spans="1:25" ht="13" x14ac:dyDescent="0.15">
      <c r="A602" s="15"/>
      <c r="B602" s="26"/>
      <c r="C602" s="27"/>
      <c r="D602" s="26"/>
      <c r="E602" s="28"/>
      <c r="F602" s="29"/>
      <c r="G602" s="29"/>
      <c r="H602" s="30"/>
      <c r="I602" s="29"/>
      <c r="J602" s="29"/>
      <c r="K602" s="29"/>
      <c r="L602" s="29"/>
      <c r="M602" s="29"/>
      <c r="N602" s="29"/>
      <c r="O602" s="29"/>
      <c r="P602" s="29"/>
      <c r="Q602" s="29"/>
      <c r="R602" s="30"/>
      <c r="S602" s="84"/>
      <c r="T602" s="84"/>
      <c r="U602" s="31"/>
      <c r="V602" s="32"/>
      <c r="W602" s="33"/>
      <c r="X602" s="17"/>
      <c r="Y602" s="17"/>
    </row>
    <row r="603" spans="1:25" ht="13" x14ac:dyDescent="0.15">
      <c r="A603" s="15"/>
      <c r="B603" s="26"/>
      <c r="C603" s="27"/>
      <c r="D603" s="26"/>
      <c r="E603" s="28"/>
      <c r="F603" s="29"/>
      <c r="G603" s="29"/>
      <c r="H603" s="30"/>
      <c r="I603" s="29"/>
      <c r="J603" s="29"/>
      <c r="K603" s="29"/>
      <c r="L603" s="29"/>
      <c r="M603" s="29"/>
      <c r="N603" s="29"/>
      <c r="O603" s="29"/>
      <c r="P603" s="29"/>
      <c r="Q603" s="29"/>
      <c r="R603" s="30"/>
      <c r="S603" s="84"/>
      <c r="T603" s="84"/>
      <c r="U603" s="31"/>
      <c r="V603" s="32"/>
      <c r="W603" s="33"/>
      <c r="X603" s="17"/>
      <c r="Y603" s="17"/>
    </row>
    <row r="604" spans="1:25" ht="13" x14ac:dyDescent="0.15">
      <c r="A604" s="15"/>
      <c r="B604" s="26"/>
      <c r="C604" s="27"/>
      <c r="D604" s="26"/>
      <c r="E604" s="28"/>
      <c r="F604" s="29"/>
      <c r="G604" s="29"/>
      <c r="H604" s="30"/>
      <c r="I604" s="29"/>
      <c r="J604" s="29"/>
      <c r="K604" s="29"/>
      <c r="L604" s="29"/>
      <c r="M604" s="29"/>
      <c r="N604" s="29"/>
      <c r="O604" s="29"/>
      <c r="P604" s="29"/>
      <c r="Q604" s="29"/>
      <c r="R604" s="30"/>
      <c r="S604" s="84"/>
      <c r="T604" s="84"/>
      <c r="U604" s="31"/>
      <c r="V604" s="32"/>
      <c r="W604" s="33"/>
      <c r="X604" s="17"/>
      <c r="Y604" s="17"/>
    </row>
    <row r="605" spans="1:25" ht="13" x14ac:dyDescent="0.15">
      <c r="A605" s="15"/>
      <c r="B605" s="26"/>
      <c r="C605" s="27"/>
      <c r="D605" s="26"/>
      <c r="E605" s="28"/>
      <c r="F605" s="29"/>
      <c r="G605" s="29"/>
      <c r="H605" s="30"/>
      <c r="I605" s="29"/>
      <c r="J605" s="29"/>
      <c r="K605" s="29"/>
      <c r="L605" s="29"/>
      <c r="M605" s="29"/>
      <c r="N605" s="29"/>
      <c r="O605" s="29"/>
      <c r="P605" s="29"/>
      <c r="Q605" s="29"/>
      <c r="R605" s="30"/>
      <c r="S605" s="84"/>
      <c r="T605" s="84"/>
      <c r="U605" s="31"/>
      <c r="V605" s="32"/>
      <c r="W605" s="33"/>
      <c r="X605" s="17"/>
      <c r="Y605" s="17"/>
    </row>
    <row r="606" spans="1:25" ht="13" x14ac:dyDescent="0.15">
      <c r="A606" s="15"/>
      <c r="B606" s="26"/>
      <c r="C606" s="27"/>
      <c r="D606" s="26"/>
      <c r="E606" s="28"/>
      <c r="F606" s="29"/>
      <c r="G606" s="29"/>
      <c r="H606" s="30"/>
      <c r="I606" s="29"/>
      <c r="J606" s="29"/>
      <c r="K606" s="29"/>
      <c r="L606" s="29"/>
      <c r="M606" s="29"/>
      <c r="N606" s="29"/>
      <c r="O606" s="29"/>
      <c r="P606" s="29"/>
      <c r="Q606" s="29"/>
      <c r="R606" s="30"/>
      <c r="S606" s="84"/>
      <c r="T606" s="84"/>
      <c r="U606" s="31"/>
      <c r="V606" s="32"/>
      <c r="W606" s="33"/>
      <c r="X606" s="17"/>
      <c r="Y606" s="17"/>
    </row>
    <row r="607" spans="1:25" ht="13" x14ac:dyDescent="0.15">
      <c r="A607" s="15"/>
      <c r="B607" s="26"/>
      <c r="C607" s="27"/>
      <c r="D607" s="26"/>
      <c r="E607" s="28"/>
      <c r="F607" s="29"/>
      <c r="G607" s="29"/>
      <c r="H607" s="30"/>
      <c r="I607" s="29"/>
      <c r="J607" s="29"/>
      <c r="K607" s="29"/>
      <c r="L607" s="29"/>
      <c r="M607" s="29"/>
      <c r="N607" s="29"/>
      <c r="O607" s="29"/>
      <c r="P607" s="29"/>
      <c r="Q607" s="29"/>
      <c r="R607" s="30"/>
      <c r="S607" s="84"/>
      <c r="T607" s="84"/>
      <c r="U607" s="31"/>
      <c r="V607" s="32"/>
      <c r="W607" s="33"/>
      <c r="X607" s="17"/>
      <c r="Y607" s="17"/>
    </row>
    <row r="608" spans="1:25" ht="13" x14ac:dyDescent="0.15">
      <c r="A608" s="15"/>
      <c r="B608" s="26"/>
      <c r="C608" s="27"/>
      <c r="D608" s="26"/>
      <c r="E608" s="28"/>
      <c r="F608" s="29"/>
      <c r="G608" s="29"/>
      <c r="H608" s="30"/>
      <c r="I608" s="29"/>
      <c r="J608" s="29"/>
      <c r="K608" s="29"/>
      <c r="L608" s="29"/>
      <c r="M608" s="29"/>
      <c r="N608" s="29"/>
      <c r="O608" s="29"/>
      <c r="P608" s="29"/>
      <c r="Q608" s="29"/>
      <c r="R608" s="30"/>
      <c r="S608" s="84"/>
      <c r="T608" s="84"/>
      <c r="U608" s="31"/>
      <c r="V608" s="32"/>
      <c r="W608" s="33"/>
      <c r="X608" s="17"/>
      <c r="Y608" s="17"/>
    </row>
    <row r="609" spans="1:25" ht="13" x14ac:dyDescent="0.15">
      <c r="A609" s="15"/>
      <c r="B609" s="26"/>
      <c r="C609" s="27"/>
      <c r="D609" s="26"/>
      <c r="E609" s="28"/>
      <c r="F609" s="29"/>
      <c r="G609" s="29"/>
      <c r="H609" s="30"/>
      <c r="I609" s="29"/>
      <c r="J609" s="29"/>
      <c r="K609" s="29"/>
      <c r="L609" s="29"/>
      <c r="M609" s="29"/>
      <c r="N609" s="29"/>
      <c r="O609" s="29"/>
      <c r="P609" s="29"/>
      <c r="Q609" s="29"/>
      <c r="R609" s="30"/>
      <c r="S609" s="84"/>
      <c r="T609" s="84"/>
      <c r="U609" s="31"/>
      <c r="V609" s="32"/>
      <c r="W609" s="33"/>
      <c r="X609" s="17"/>
      <c r="Y609" s="17"/>
    </row>
    <row r="610" spans="1:25" ht="13" x14ac:dyDescent="0.15">
      <c r="A610" s="15"/>
      <c r="B610" s="26"/>
      <c r="C610" s="27"/>
      <c r="D610" s="26"/>
      <c r="E610" s="28"/>
      <c r="F610" s="29"/>
      <c r="G610" s="29"/>
      <c r="H610" s="30"/>
      <c r="I610" s="29"/>
      <c r="J610" s="29"/>
      <c r="K610" s="29"/>
      <c r="L610" s="29"/>
      <c r="M610" s="29"/>
      <c r="N610" s="29"/>
      <c r="O610" s="29"/>
      <c r="P610" s="29"/>
      <c r="Q610" s="29"/>
      <c r="R610" s="30"/>
      <c r="S610" s="84"/>
      <c r="T610" s="84"/>
      <c r="U610" s="31"/>
      <c r="V610" s="32"/>
      <c r="W610" s="33"/>
      <c r="X610" s="17"/>
      <c r="Y610" s="17"/>
    </row>
    <row r="611" spans="1:25" ht="13" x14ac:dyDescent="0.15">
      <c r="A611" s="15"/>
      <c r="B611" s="26"/>
      <c r="C611" s="27"/>
      <c r="D611" s="26"/>
      <c r="E611" s="28"/>
      <c r="F611" s="29"/>
      <c r="G611" s="29"/>
      <c r="H611" s="30"/>
      <c r="I611" s="29"/>
      <c r="J611" s="29"/>
      <c r="K611" s="29"/>
      <c r="L611" s="29"/>
      <c r="M611" s="29"/>
      <c r="N611" s="29"/>
      <c r="O611" s="29"/>
      <c r="P611" s="29"/>
      <c r="Q611" s="29"/>
      <c r="R611" s="30"/>
      <c r="S611" s="84"/>
      <c r="T611" s="84"/>
      <c r="U611" s="31"/>
      <c r="V611" s="32"/>
      <c r="W611" s="33"/>
      <c r="X611" s="17"/>
      <c r="Y611" s="17"/>
    </row>
    <row r="612" spans="1:25" ht="13" x14ac:dyDescent="0.15">
      <c r="A612" s="15"/>
      <c r="B612" s="26"/>
      <c r="C612" s="27"/>
      <c r="D612" s="26"/>
      <c r="E612" s="28"/>
      <c r="F612" s="29"/>
      <c r="G612" s="29"/>
      <c r="H612" s="30"/>
      <c r="I612" s="29"/>
      <c r="J612" s="29"/>
      <c r="K612" s="29"/>
      <c r="L612" s="29"/>
      <c r="M612" s="29"/>
      <c r="N612" s="29"/>
      <c r="O612" s="29"/>
      <c r="P612" s="29"/>
      <c r="Q612" s="29"/>
      <c r="R612" s="30"/>
      <c r="S612" s="84"/>
      <c r="T612" s="84"/>
      <c r="U612" s="31"/>
      <c r="V612" s="32"/>
      <c r="W612" s="33"/>
      <c r="X612" s="17"/>
      <c r="Y612" s="17"/>
    </row>
    <row r="613" spans="1:25" ht="13" x14ac:dyDescent="0.15">
      <c r="A613" s="15"/>
      <c r="B613" s="26"/>
      <c r="C613" s="27"/>
      <c r="D613" s="26"/>
      <c r="E613" s="28"/>
      <c r="F613" s="29"/>
      <c r="G613" s="29"/>
      <c r="H613" s="30"/>
      <c r="I613" s="29"/>
      <c r="J613" s="29"/>
      <c r="K613" s="29"/>
      <c r="L613" s="29"/>
      <c r="M613" s="29"/>
      <c r="N613" s="29"/>
      <c r="O613" s="29"/>
      <c r="P613" s="29"/>
      <c r="Q613" s="29"/>
      <c r="R613" s="30"/>
      <c r="S613" s="84"/>
      <c r="T613" s="84"/>
      <c r="U613" s="31"/>
      <c r="V613" s="32"/>
      <c r="W613" s="33"/>
      <c r="X613" s="17"/>
      <c r="Y613" s="17"/>
    </row>
    <row r="614" spans="1:25" ht="13" x14ac:dyDescent="0.15">
      <c r="A614" s="15"/>
      <c r="B614" s="26"/>
      <c r="C614" s="27"/>
      <c r="D614" s="26"/>
      <c r="E614" s="28"/>
      <c r="F614" s="29"/>
      <c r="G614" s="29"/>
      <c r="H614" s="30"/>
      <c r="I614" s="29"/>
      <c r="J614" s="29"/>
      <c r="K614" s="29"/>
      <c r="L614" s="29"/>
      <c r="M614" s="29"/>
      <c r="N614" s="29"/>
      <c r="O614" s="29"/>
      <c r="P614" s="29"/>
      <c r="Q614" s="29"/>
      <c r="R614" s="30"/>
      <c r="S614" s="84"/>
      <c r="T614" s="84"/>
      <c r="U614" s="31"/>
      <c r="V614" s="32"/>
      <c r="W614" s="33"/>
      <c r="X614" s="17"/>
      <c r="Y614" s="17"/>
    </row>
    <row r="615" spans="1:25" ht="13" x14ac:dyDescent="0.15">
      <c r="A615" s="15"/>
      <c r="B615" s="26"/>
      <c r="C615" s="27"/>
      <c r="D615" s="26"/>
      <c r="E615" s="28"/>
      <c r="F615" s="29"/>
      <c r="G615" s="29"/>
      <c r="H615" s="30"/>
      <c r="I615" s="29"/>
      <c r="J615" s="29"/>
      <c r="K615" s="29"/>
      <c r="L615" s="29"/>
      <c r="M615" s="29"/>
      <c r="N615" s="29"/>
      <c r="O615" s="29"/>
      <c r="P615" s="29"/>
      <c r="Q615" s="29"/>
      <c r="R615" s="30"/>
      <c r="S615" s="84"/>
      <c r="T615" s="84"/>
      <c r="U615" s="31"/>
      <c r="V615" s="32"/>
      <c r="W615" s="33"/>
      <c r="X615" s="17"/>
      <c r="Y615" s="17"/>
    </row>
    <row r="616" spans="1:25" ht="13" x14ac:dyDescent="0.15">
      <c r="A616" s="15"/>
      <c r="B616" s="26"/>
      <c r="C616" s="27"/>
      <c r="D616" s="26"/>
      <c r="E616" s="28"/>
      <c r="F616" s="29"/>
      <c r="G616" s="29"/>
      <c r="H616" s="30"/>
      <c r="I616" s="29"/>
      <c r="J616" s="29"/>
      <c r="K616" s="29"/>
      <c r="L616" s="29"/>
      <c r="M616" s="29"/>
      <c r="N616" s="29"/>
      <c r="O616" s="29"/>
      <c r="P616" s="29"/>
      <c r="Q616" s="29"/>
      <c r="R616" s="30"/>
      <c r="S616" s="84"/>
      <c r="T616" s="84"/>
      <c r="U616" s="31"/>
      <c r="V616" s="32"/>
      <c r="W616" s="33"/>
      <c r="X616" s="17"/>
      <c r="Y616" s="17"/>
    </row>
    <row r="617" spans="1:25" ht="13" x14ac:dyDescent="0.15">
      <c r="A617" s="15"/>
      <c r="B617" s="26"/>
      <c r="C617" s="27"/>
      <c r="D617" s="26"/>
      <c r="E617" s="28"/>
      <c r="F617" s="29"/>
      <c r="G617" s="29"/>
      <c r="H617" s="30"/>
      <c r="I617" s="29"/>
      <c r="J617" s="29"/>
      <c r="K617" s="29"/>
      <c r="L617" s="29"/>
      <c r="M617" s="29"/>
      <c r="N617" s="29"/>
      <c r="O617" s="29"/>
      <c r="P617" s="29"/>
      <c r="Q617" s="29"/>
      <c r="R617" s="30"/>
      <c r="S617" s="84"/>
      <c r="T617" s="84"/>
      <c r="U617" s="31"/>
      <c r="V617" s="32"/>
      <c r="W617" s="33"/>
      <c r="X617" s="17"/>
      <c r="Y617" s="17"/>
    </row>
    <row r="618" spans="1:25" ht="13" x14ac:dyDescent="0.15">
      <c r="A618" s="15"/>
      <c r="B618" s="26"/>
      <c r="C618" s="27"/>
      <c r="D618" s="26"/>
      <c r="E618" s="28"/>
      <c r="F618" s="29"/>
      <c r="G618" s="29"/>
      <c r="H618" s="30"/>
      <c r="I618" s="29"/>
      <c r="J618" s="29"/>
      <c r="K618" s="29"/>
      <c r="L618" s="29"/>
      <c r="M618" s="29"/>
      <c r="N618" s="29"/>
      <c r="O618" s="29"/>
      <c r="P618" s="29"/>
      <c r="Q618" s="29"/>
      <c r="R618" s="30"/>
      <c r="S618" s="84"/>
      <c r="T618" s="84"/>
      <c r="U618" s="31"/>
      <c r="V618" s="32"/>
      <c r="W618" s="33"/>
      <c r="X618" s="17"/>
      <c r="Y618" s="17"/>
    </row>
    <row r="619" spans="1:25" ht="13" x14ac:dyDescent="0.15">
      <c r="A619" s="15"/>
      <c r="B619" s="26"/>
      <c r="C619" s="27"/>
      <c r="D619" s="26"/>
      <c r="E619" s="28"/>
      <c r="F619" s="29"/>
      <c r="G619" s="29"/>
      <c r="H619" s="30"/>
      <c r="I619" s="29"/>
      <c r="J619" s="29"/>
      <c r="K619" s="29"/>
      <c r="L619" s="29"/>
      <c r="M619" s="29"/>
      <c r="N619" s="29"/>
      <c r="O619" s="29"/>
      <c r="P619" s="29"/>
      <c r="Q619" s="29"/>
      <c r="R619" s="30"/>
      <c r="S619" s="84"/>
      <c r="T619" s="84"/>
      <c r="U619" s="31"/>
      <c r="V619" s="32"/>
      <c r="W619" s="33"/>
      <c r="X619" s="17"/>
      <c r="Y619" s="17"/>
    </row>
    <row r="620" spans="1:25" ht="13" x14ac:dyDescent="0.15">
      <c r="A620" s="15"/>
      <c r="B620" s="26"/>
      <c r="C620" s="27"/>
      <c r="D620" s="26"/>
      <c r="E620" s="28"/>
      <c r="F620" s="29"/>
      <c r="G620" s="29"/>
      <c r="H620" s="30"/>
      <c r="I620" s="29"/>
      <c r="J620" s="29"/>
      <c r="K620" s="29"/>
      <c r="L620" s="29"/>
      <c r="M620" s="29"/>
      <c r="N620" s="29"/>
      <c r="O620" s="29"/>
      <c r="P620" s="29"/>
      <c r="Q620" s="29"/>
      <c r="R620" s="30"/>
      <c r="S620" s="84"/>
      <c r="T620" s="84"/>
      <c r="U620" s="31"/>
      <c r="V620" s="32"/>
      <c r="W620" s="33"/>
      <c r="X620" s="17"/>
      <c r="Y620" s="17"/>
    </row>
    <row r="621" spans="1:25" ht="13" x14ac:dyDescent="0.15">
      <c r="A621" s="15"/>
      <c r="B621" s="26"/>
      <c r="C621" s="27"/>
      <c r="D621" s="26"/>
      <c r="E621" s="28"/>
      <c r="F621" s="29"/>
      <c r="G621" s="29"/>
      <c r="H621" s="30"/>
      <c r="I621" s="29"/>
      <c r="J621" s="29"/>
      <c r="K621" s="29"/>
      <c r="L621" s="29"/>
      <c r="M621" s="29"/>
      <c r="N621" s="29"/>
      <c r="O621" s="29"/>
      <c r="P621" s="29"/>
      <c r="Q621" s="29"/>
      <c r="R621" s="30"/>
      <c r="S621" s="84"/>
      <c r="T621" s="84"/>
      <c r="U621" s="31"/>
      <c r="V621" s="32"/>
      <c r="W621" s="33"/>
      <c r="X621" s="17"/>
      <c r="Y621" s="17"/>
    </row>
    <row r="622" spans="1:25" ht="13" x14ac:dyDescent="0.15">
      <c r="A622" s="15"/>
      <c r="B622" s="26"/>
      <c r="C622" s="27"/>
      <c r="D622" s="26"/>
      <c r="E622" s="28"/>
      <c r="F622" s="29"/>
      <c r="G622" s="29"/>
      <c r="H622" s="30"/>
      <c r="I622" s="29"/>
      <c r="J622" s="29"/>
      <c r="K622" s="29"/>
      <c r="L622" s="29"/>
      <c r="M622" s="29"/>
      <c r="N622" s="29"/>
      <c r="O622" s="29"/>
      <c r="P622" s="29"/>
      <c r="Q622" s="29"/>
      <c r="R622" s="30"/>
      <c r="S622" s="84"/>
      <c r="T622" s="84"/>
      <c r="U622" s="31"/>
      <c r="V622" s="32"/>
      <c r="W622" s="33"/>
      <c r="X622" s="17"/>
      <c r="Y622" s="17"/>
    </row>
    <row r="623" spans="1:25" ht="13" x14ac:dyDescent="0.15">
      <c r="A623" s="15"/>
      <c r="B623" s="26"/>
      <c r="C623" s="27"/>
      <c r="D623" s="26"/>
      <c r="E623" s="28"/>
      <c r="F623" s="29"/>
      <c r="G623" s="29"/>
      <c r="H623" s="30"/>
      <c r="I623" s="29"/>
      <c r="J623" s="29"/>
      <c r="K623" s="29"/>
      <c r="L623" s="29"/>
      <c r="M623" s="29"/>
      <c r="N623" s="29"/>
      <c r="O623" s="29"/>
      <c r="P623" s="29"/>
      <c r="Q623" s="29"/>
      <c r="R623" s="30"/>
      <c r="S623" s="84"/>
      <c r="T623" s="84"/>
      <c r="U623" s="31"/>
      <c r="V623" s="32"/>
      <c r="W623" s="33"/>
      <c r="X623" s="17"/>
      <c r="Y623" s="17"/>
    </row>
    <row r="624" spans="1:25" ht="13" x14ac:dyDescent="0.15">
      <c r="A624" s="15"/>
      <c r="B624" s="26"/>
      <c r="C624" s="27"/>
      <c r="D624" s="26"/>
      <c r="E624" s="28"/>
      <c r="F624" s="29"/>
      <c r="G624" s="29"/>
      <c r="H624" s="30"/>
      <c r="I624" s="29"/>
      <c r="J624" s="29"/>
      <c r="K624" s="29"/>
      <c r="L624" s="29"/>
      <c r="M624" s="29"/>
      <c r="N624" s="29"/>
      <c r="O624" s="29"/>
      <c r="P624" s="29"/>
      <c r="Q624" s="29"/>
      <c r="R624" s="30"/>
      <c r="S624" s="84"/>
      <c r="T624" s="84"/>
      <c r="U624" s="31"/>
      <c r="V624" s="32"/>
      <c r="W624" s="33"/>
      <c r="X624" s="17"/>
      <c r="Y624" s="17"/>
    </row>
    <row r="625" spans="1:25" ht="13" x14ac:dyDescent="0.15">
      <c r="A625" s="15"/>
      <c r="B625" s="26"/>
      <c r="C625" s="27"/>
      <c r="D625" s="26"/>
      <c r="E625" s="28"/>
      <c r="F625" s="29"/>
      <c r="G625" s="29"/>
      <c r="H625" s="30"/>
      <c r="I625" s="29"/>
      <c r="J625" s="29"/>
      <c r="K625" s="29"/>
      <c r="L625" s="29"/>
      <c r="M625" s="29"/>
      <c r="N625" s="29"/>
      <c r="O625" s="29"/>
      <c r="P625" s="29"/>
      <c r="Q625" s="29"/>
      <c r="R625" s="30"/>
      <c r="S625" s="84"/>
      <c r="T625" s="84"/>
      <c r="U625" s="31"/>
      <c r="V625" s="32"/>
      <c r="W625" s="33"/>
      <c r="X625" s="17"/>
      <c r="Y625" s="17"/>
    </row>
    <row r="626" spans="1:25" ht="13" x14ac:dyDescent="0.15">
      <c r="A626" s="15"/>
      <c r="B626" s="26"/>
      <c r="C626" s="27"/>
      <c r="D626" s="26"/>
      <c r="E626" s="28"/>
      <c r="F626" s="29"/>
      <c r="G626" s="29"/>
      <c r="H626" s="30"/>
      <c r="I626" s="29"/>
      <c r="J626" s="29"/>
      <c r="K626" s="29"/>
      <c r="L626" s="29"/>
      <c r="M626" s="29"/>
      <c r="N626" s="29"/>
      <c r="O626" s="29"/>
      <c r="P626" s="29"/>
      <c r="Q626" s="29"/>
      <c r="R626" s="30"/>
      <c r="S626" s="84"/>
      <c r="T626" s="84"/>
      <c r="U626" s="31"/>
      <c r="V626" s="32"/>
      <c r="W626" s="33"/>
      <c r="X626" s="17"/>
      <c r="Y626" s="17"/>
    </row>
    <row r="627" spans="1:25" ht="13" x14ac:dyDescent="0.15">
      <c r="A627" s="15"/>
      <c r="B627" s="26"/>
      <c r="C627" s="27"/>
      <c r="D627" s="26"/>
      <c r="E627" s="28"/>
      <c r="F627" s="29"/>
      <c r="G627" s="29"/>
      <c r="H627" s="30"/>
      <c r="I627" s="29"/>
      <c r="J627" s="29"/>
      <c r="K627" s="29"/>
      <c r="L627" s="29"/>
      <c r="M627" s="29"/>
      <c r="N627" s="29"/>
      <c r="O627" s="29"/>
      <c r="P627" s="29"/>
      <c r="Q627" s="29"/>
      <c r="R627" s="30"/>
      <c r="S627" s="84"/>
      <c r="T627" s="84"/>
      <c r="U627" s="31"/>
      <c r="V627" s="32"/>
      <c r="W627" s="33"/>
      <c r="X627" s="17"/>
      <c r="Y627" s="17"/>
    </row>
    <row r="628" spans="1:25" ht="13" x14ac:dyDescent="0.15">
      <c r="A628" s="15"/>
      <c r="B628" s="26"/>
      <c r="C628" s="27"/>
      <c r="D628" s="26"/>
      <c r="E628" s="28"/>
      <c r="F628" s="29"/>
      <c r="G628" s="29"/>
      <c r="H628" s="30"/>
      <c r="I628" s="29"/>
      <c r="J628" s="29"/>
      <c r="K628" s="29"/>
      <c r="L628" s="29"/>
      <c r="M628" s="29"/>
      <c r="N628" s="29"/>
      <c r="O628" s="29"/>
      <c r="P628" s="29"/>
      <c r="Q628" s="29"/>
      <c r="R628" s="30"/>
      <c r="S628" s="84"/>
      <c r="T628" s="84"/>
      <c r="U628" s="31"/>
      <c r="V628" s="32"/>
      <c r="W628" s="33"/>
      <c r="X628" s="17"/>
      <c r="Y628" s="17"/>
    </row>
    <row r="629" spans="1:25" ht="13" x14ac:dyDescent="0.15">
      <c r="A629" s="15"/>
      <c r="B629" s="26"/>
      <c r="C629" s="27"/>
      <c r="D629" s="26"/>
      <c r="E629" s="28"/>
      <c r="F629" s="29"/>
      <c r="G629" s="29"/>
      <c r="H629" s="30"/>
      <c r="I629" s="29"/>
      <c r="J629" s="29"/>
      <c r="K629" s="29"/>
      <c r="L629" s="29"/>
      <c r="M629" s="29"/>
      <c r="N629" s="29"/>
      <c r="O629" s="29"/>
      <c r="P629" s="29"/>
      <c r="Q629" s="29"/>
      <c r="R629" s="30"/>
      <c r="S629" s="84"/>
      <c r="T629" s="84"/>
      <c r="U629" s="31"/>
      <c r="V629" s="32"/>
      <c r="W629" s="33"/>
      <c r="X629" s="17"/>
      <c r="Y629" s="17"/>
    </row>
    <row r="630" spans="1:25" ht="13" x14ac:dyDescent="0.15">
      <c r="A630" s="15"/>
      <c r="B630" s="26"/>
      <c r="C630" s="27"/>
      <c r="D630" s="26"/>
      <c r="E630" s="28"/>
      <c r="F630" s="29"/>
      <c r="G630" s="29"/>
      <c r="H630" s="30"/>
      <c r="I630" s="29"/>
      <c r="J630" s="29"/>
      <c r="K630" s="29"/>
      <c r="L630" s="29"/>
      <c r="M630" s="29"/>
      <c r="N630" s="29"/>
      <c r="O630" s="29"/>
      <c r="P630" s="29"/>
      <c r="Q630" s="29"/>
      <c r="R630" s="30"/>
      <c r="S630" s="84"/>
      <c r="T630" s="84"/>
      <c r="U630" s="31"/>
      <c r="V630" s="32"/>
      <c r="W630" s="33"/>
      <c r="X630" s="17"/>
      <c r="Y630" s="17"/>
    </row>
    <row r="631" spans="1:25" ht="13" x14ac:dyDescent="0.15">
      <c r="A631" s="15"/>
      <c r="B631" s="26"/>
      <c r="C631" s="27"/>
      <c r="D631" s="26"/>
      <c r="E631" s="28"/>
      <c r="F631" s="29"/>
      <c r="G631" s="29"/>
      <c r="H631" s="30"/>
      <c r="I631" s="29"/>
      <c r="J631" s="29"/>
      <c r="K631" s="29"/>
      <c r="L631" s="29"/>
      <c r="M631" s="29"/>
      <c r="N631" s="29"/>
      <c r="O631" s="29"/>
      <c r="P631" s="29"/>
      <c r="Q631" s="29"/>
      <c r="R631" s="30"/>
      <c r="S631" s="84"/>
      <c r="T631" s="84"/>
      <c r="U631" s="31"/>
      <c r="V631" s="32"/>
      <c r="W631" s="33"/>
      <c r="X631" s="17"/>
      <c r="Y631" s="17"/>
    </row>
    <row r="632" spans="1:25" ht="13" x14ac:dyDescent="0.15">
      <c r="A632" s="15"/>
      <c r="B632" s="26"/>
      <c r="C632" s="27"/>
      <c r="D632" s="26"/>
      <c r="E632" s="28"/>
      <c r="F632" s="29"/>
      <c r="G632" s="29"/>
      <c r="H632" s="30"/>
      <c r="I632" s="29"/>
      <c r="J632" s="29"/>
      <c r="K632" s="29"/>
      <c r="L632" s="29"/>
      <c r="M632" s="29"/>
      <c r="N632" s="29"/>
      <c r="O632" s="29"/>
      <c r="P632" s="29"/>
      <c r="Q632" s="29"/>
      <c r="R632" s="30"/>
      <c r="S632" s="84"/>
      <c r="T632" s="84"/>
      <c r="U632" s="31"/>
      <c r="V632" s="32"/>
      <c r="W632" s="33"/>
      <c r="X632" s="17"/>
      <c r="Y632" s="17"/>
    </row>
    <row r="633" spans="1:25" ht="13" x14ac:dyDescent="0.15">
      <c r="A633" s="15"/>
      <c r="B633" s="26"/>
      <c r="C633" s="27"/>
      <c r="D633" s="26"/>
      <c r="E633" s="28"/>
      <c r="F633" s="29"/>
      <c r="G633" s="29"/>
      <c r="H633" s="30"/>
      <c r="I633" s="29"/>
      <c r="J633" s="29"/>
      <c r="K633" s="29"/>
      <c r="L633" s="29"/>
      <c r="M633" s="29"/>
      <c r="N633" s="29"/>
      <c r="O633" s="29"/>
      <c r="P633" s="29"/>
      <c r="Q633" s="29"/>
      <c r="R633" s="30"/>
      <c r="S633" s="84"/>
      <c r="T633" s="84"/>
      <c r="U633" s="31"/>
      <c r="V633" s="32"/>
      <c r="W633" s="33"/>
      <c r="X633" s="17"/>
      <c r="Y633" s="17"/>
    </row>
    <row r="634" spans="1:25" ht="13" x14ac:dyDescent="0.15">
      <c r="A634" s="15"/>
      <c r="B634" s="26"/>
      <c r="C634" s="27"/>
      <c r="D634" s="26"/>
      <c r="E634" s="28"/>
      <c r="F634" s="29"/>
      <c r="G634" s="29"/>
      <c r="H634" s="30"/>
      <c r="I634" s="29"/>
      <c r="J634" s="29"/>
      <c r="K634" s="29"/>
      <c r="L634" s="29"/>
      <c r="M634" s="29"/>
      <c r="N634" s="29"/>
      <c r="O634" s="29"/>
      <c r="P634" s="29"/>
      <c r="Q634" s="29"/>
      <c r="R634" s="30"/>
      <c r="S634" s="84"/>
      <c r="T634" s="84"/>
      <c r="U634" s="31"/>
      <c r="V634" s="32"/>
      <c r="W634" s="33"/>
      <c r="X634" s="17"/>
      <c r="Y634" s="17"/>
    </row>
    <row r="635" spans="1:25" ht="13" x14ac:dyDescent="0.15">
      <c r="A635" s="15"/>
      <c r="B635" s="26"/>
      <c r="C635" s="27"/>
      <c r="D635" s="26"/>
      <c r="E635" s="28"/>
      <c r="F635" s="29"/>
      <c r="G635" s="29"/>
      <c r="H635" s="30"/>
      <c r="I635" s="29"/>
      <c r="J635" s="29"/>
      <c r="K635" s="29"/>
      <c r="L635" s="29"/>
      <c r="M635" s="29"/>
      <c r="N635" s="29"/>
      <c r="O635" s="29"/>
      <c r="P635" s="29"/>
      <c r="Q635" s="29"/>
      <c r="R635" s="30"/>
      <c r="S635" s="84"/>
      <c r="T635" s="84"/>
      <c r="U635" s="31"/>
      <c r="V635" s="32"/>
      <c r="W635" s="33"/>
      <c r="X635" s="17"/>
      <c r="Y635" s="17"/>
    </row>
    <row r="636" spans="1:25" ht="13" x14ac:dyDescent="0.15">
      <c r="A636" s="15"/>
      <c r="B636" s="26"/>
      <c r="C636" s="27"/>
      <c r="D636" s="26"/>
      <c r="E636" s="28"/>
      <c r="F636" s="29"/>
      <c r="G636" s="29"/>
      <c r="H636" s="30"/>
      <c r="I636" s="29"/>
      <c r="J636" s="29"/>
      <c r="K636" s="29"/>
      <c r="L636" s="29"/>
      <c r="M636" s="29"/>
      <c r="N636" s="29"/>
      <c r="O636" s="29"/>
      <c r="P636" s="29"/>
      <c r="Q636" s="29"/>
      <c r="R636" s="30"/>
      <c r="S636" s="84"/>
      <c r="T636" s="84"/>
      <c r="U636" s="31"/>
      <c r="V636" s="32"/>
      <c r="W636" s="33"/>
      <c r="X636" s="17"/>
      <c r="Y636" s="17"/>
    </row>
    <row r="637" spans="1:25" ht="13" x14ac:dyDescent="0.15">
      <c r="A637" s="15"/>
      <c r="B637" s="26"/>
      <c r="C637" s="27"/>
      <c r="D637" s="26"/>
      <c r="E637" s="28"/>
      <c r="F637" s="29"/>
      <c r="G637" s="29"/>
      <c r="H637" s="30"/>
      <c r="I637" s="29"/>
      <c r="J637" s="29"/>
      <c r="K637" s="29"/>
      <c r="L637" s="29"/>
      <c r="M637" s="29"/>
      <c r="N637" s="29"/>
      <c r="O637" s="29"/>
      <c r="P637" s="29"/>
      <c r="Q637" s="29"/>
      <c r="R637" s="30"/>
      <c r="S637" s="84"/>
      <c r="T637" s="84"/>
      <c r="U637" s="31"/>
      <c r="V637" s="32"/>
      <c r="W637" s="33"/>
      <c r="X637" s="17"/>
      <c r="Y637" s="17"/>
    </row>
    <row r="638" spans="1:25" ht="13" x14ac:dyDescent="0.15">
      <c r="A638" s="15"/>
      <c r="B638" s="26"/>
      <c r="C638" s="27"/>
      <c r="D638" s="26"/>
      <c r="E638" s="28"/>
      <c r="F638" s="29"/>
      <c r="G638" s="29"/>
      <c r="H638" s="30"/>
      <c r="I638" s="29"/>
      <c r="J638" s="29"/>
      <c r="K638" s="29"/>
      <c r="L638" s="29"/>
      <c r="M638" s="29"/>
      <c r="N638" s="29"/>
      <c r="O638" s="29"/>
      <c r="P638" s="29"/>
      <c r="Q638" s="29"/>
      <c r="R638" s="30"/>
      <c r="S638" s="84"/>
      <c r="T638" s="84"/>
      <c r="U638" s="31"/>
      <c r="V638" s="32"/>
      <c r="W638" s="33"/>
      <c r="X638" s="17"/>
      <c r="Y638" s="17"/>
    </row>
    <row r="639" spans="1:25" ht="13" x14ac:dyDescent="0.15">
      <c r="A639" s="15"/>
      <c r="B639" s="26"/>
      <c r="C639" s="27"/>
      <c r="D639" s="26"/>
      <c r="E639" s="28"/>
      <c r="F639" s="29"/>
      <c r="G639" s="29"/>
      <c r="H639" s="30"/>
      <c r="I639" s="29"/>
      <c r="J639" s="29"/>
      <c r="K639" s="29"/>
      <c r="L639" s="29"/>
      <c r="M639" s="29"/>
      <c r="N639" s="29"/>
      <c r="O639" s="29"/>
      <c r="P639" s="29"/>
      <c r="Q639" s="29"/>
      <c r="R639" s="30"/>
      <c r="S639" s="84"/>
      <c r="T639" s="84"/>
      <c r="U639" s="31"/>
      <c r="V639" s="32"/>
      <c r="W639" s="33"/>
      <c r="X639" s="17"/>
      <c r="Y639" s="17"/>
    </row>
    <row r="640" spans="1:25" ht="13" x14ac:dyDescent="0.15">
      <c r="A640" s="15"/>
      <c r="B640" s="26"/>
      <c r="C640" s="27"/>
      <c r="D640" s="26"/>
      <c r="E640" s="28"/>
      <c r="F640" s="29"/>
      <c r="G640" s="29"/>
      <c r="H640" s="30"/>
      <c r="I640" s="29"/>
      <c r="J640" s="29"/>
      <c r="K640" s="29"/>
      <c r="L640" s="29"/>
      <c r="M640" s="29"/>
      <c r="N640" s="29"/>
      <c r="O640" s="29"/>
      <c r="P640" s="29"/>
      <c r="Q640" s="29"/>
      <c r="R640" s="30"/>
      <c r="S640" s="84"/>
      <c r="T640" s="84"/>
      <c r="U640" s="31"/>
      <c r="V640" s="32"/>
      <c r="W640" s="33"/>
      <c r="X640" s="17"/>
      <c r="Y640" s="17"/>
    </row>
    <row r="641" spans="1:25" ht="13" x14ac:dyDescent="0.15">
      <c r="A641" s="15"/>
      <c r="B641" s="26"/>
      <c r="C641" s="27"/>
      <c r="D641" s="26"/>
      <c r="E641" s="28"/>
      <c r="F641" s="29"/>
      <c r="G641" s="29"/>
      <c r="H641" s="30"/>
      <c r="I641" s="29"/>
      <c r="J641" s="29"/>
      <c r="K641" s="29"/>
      <c r="L641" s="29"/>
      <c r="M641" s="29"/>
      <c r="N641" s="29"/>
      <c r="O641" s="29"/>
      <c r="P641" s="29"/>
      <c r="Q641" s="29"/>
      <c r="R641" s="30"/>
      <c r="S641" s="84"/>
      <c r="T641" s="84"/>
      <c r="U641" s="31"/>
      <c r="V641" s="32"/>
      <c r="W641" s="33"/>
      <c r="X641" s="17"/>
      <c r="Y641" s="17"/>
    </row>
    <row r="642" spans="1:25" ht="13" x14ac:dyDescent="0.15">
      <c r="A642" s="15"/>
      <c r="B642" s="26"/>
      <c r="C642" s="27"/>
      <c r="D642" s="26"/>
      <c r="E642" s="28"/>
      <c r="F642" s="29"/>
      <c r="G642" s="29"/>
      <c r="H642" s="30"/>
      <c r="I642" s="29"/>
      <c r="J642" s="29"/>
      <c r="K642" s="29"/>
      <c r="L642" s="29"/>
      <c r="M642" s="29"/>
      <c r="N642" s="29"/>
      <c r="O642" s="29"/>
      <c r="P642" s="29"/>
      <c r="Q642" s="29"/>
      <c r="R642" s="30"/>
      <c r="S642" s="84"/>
      <c r="T642" s="84"/>
      <c r="U642" s="31"/>
      <c r="V642" s="32"/>
      <c r="W642" s="33"/>
      <c r="X642" s="17"/>
      <c r="Y642" s="17"/>
    </row>
    <row r="643" spans="1:25" ht="13" x14ac:dyDescent="0.15">
      <c r="A643" s="15"/>
      <c r="B643" s="26"/>
      <c r="C643" s="27"/>
      <c r="D643" s="26"/>
      <c r="E643" s="28"/>
      <c r="F643" s="29"/>
      <c r="G643" s="29"/>
      <c r="H643" s="30"/>
      <c r="I643" s="29"/>
      <c r="J643" s="29"/>
      <c r="K643" s="29"/>
      <c r="L643" s="29"/>
      <c r="M643" s="29"/>
      <c r="N643" s="29"/>
      <c r="O643" s="29"/>
      <c r="P643" s="29"/>
      <c r="Q643" s="29"/>
      <c r="R643" s="30"/>
      <c r="S643" s="84"/>
      <c r="T643" s="84"/>
      <c r="U643" s="31"/>
      <c r="V643" s="32"/>
      <c r="W643" s="33"/>
      <c r="X643" s="17"/>
      <c r="Y643" s="17"/>
    </row>
    <row r="644" spans="1:25" ht="13" x14ac:dyDescent="0.15">
      <c r="A644" s="15"/>
      <c r="B644" s="26"/>
      <c r="C644" s="27"/>
      <c r="D644" s="26"/>
      <c r="E644" s="28"/>
      <c r="F644" s="29"/>
      <c r="G644" s="29"/>
      <c r="H644" s="30"/>
      <c r="I644" s="29"/>
      <c r="J644" s="29"/>
      <c r="K644" s="29"/>
      <c r="L644" s="29"/>
      <c r="M644" s="29"/>
      <c r="N644" s="29"/>
      <c r="O644" s="29"/>
      <c r="P644" s="29"/>
      <c r="Q644" s="29"/>
      <c r="R644" s="30"/>
      <c r="S644" s="84"/>
      <c r="T644" s="84"/>
      <c r="U644" s="31"/>
      <c r="V644" s="32"/>
      <c r="W644" s="33"/>
      <c r="X644" s="17"/>
      <c r="Y644" s="17"/>
    </row>
    <row r="645" spans="1:25" ht="13" x14ac:dyDescent="0.15">
      <c r="A645" s="15"/>
      <c r="B645" s="26"/>
      <c r="C645" s="27"/>
      <c r="D645" s="26"/>
      <c r="E645" s="28"/>
      <c r="F645" s="29"/>
      <c r="G645" s="29"/>
      <c r="H645" s="30"/>
      <c r="I645" s="29"/>
      <c r="J645" s="29"/>
      <c r="K645" s="29"/>
      <c r="L645" s="29"/>
      <c r="M645" s="29"/>
      <c r="N645" s="29"/>
      <c r="O645" s="29"/>
      <c r="P645" s="29"/>
      <c r="Q645" s="29"/>
      <c r="R645" s="30"/>
      <c r="S645" s="84"/>
      <c r="T645" s="84"/>
      <c r="U645" s="31"/>
      <c r="V645" s="32"/>
      <c r="W645" s="33"/>
      <c r="X645" s="17"/>
      <c r="Y645" s="17"/>
    </row>
    <row r="646" spans="1:25" ht="13" x14ac:dyDescent="0.15">
      <c r="A646" s="15"/>
      <c r="B646" s="26"/>
      <c r="C646" s="27"/>
      <c r="D646" s="26"/>
      <c r="E646" s="28"/>
      <c r="F646" s="29"/>
      <c r="G646" s="29"/>
      <c r="H646" s="30"/>
      <c r="I646" s="29"/>
      <c r="J646" s="29"/>
      <c r="K646" s="29"/>
      <c r="L646" s="29"/>
      <c r="M646" s="29"/>
      <c r="N646" s="29"/>
      <c r="O646" s="29"/>
      <c r="P646" s="29"/>
      <c r="Q646" s="29"/>
      <c r="R646" s="30"/>
      <c r="S646" s="84"/>
      <c r="T646" s="84"/>
      <c r="U646" s="31"/>
      <c r="V646" s="32"/>
      <c r="W646" s="33"/>
      <c r="X646" s="17"/>
      <c r="Y646" s="17"/>
    </row>
    <row r="647" spans="1:25" ht="13" x14ac:dyDescent="0.15">
      <c r="A647" s="15"/>
      <c r="B647" s="26"/>
      <c r="C647" s="27"/>
      <c r="D647" s="26"/>
      <c r="E647" s="28"/>
      <c r="F647" s="29"/>
      <c r="G647" s="29"/>
      <c r="H647" s="30"/>
      <c r="I647" s="29"/>
      <c r="J647" s="29"/>
      <c r="K647" s="29"/>
      <c r="L647" s="29"/>
      <c r="M647" s="29"/>
      <c r="N647" s="29"/>
      <c r="O647" s="29"/>
      <c r="P647" s="29"/>
      <c r="Q647" s="29"/>
      <c r="R647" s="30"/>
      <c r="S647" s="84"/>
      <c r="T647" s="84"/>
      <c r="U647" s="31"/>
      <c r="V647" s="32"/>
      <c r="W647" s="33"/>
      <c r="X647" s="17"/>
      <c r="Y647" s="17"/>
    </row>
    <row r="648" spans="1:25" ht="13" x14ac:dyDescent="0.15">
      <c r="A648" s="15"/>
      <c r="B648" s="26"/>
      <c r="C648" s="27"/>
      <c r="D648" s="26"/>
      <c r="E648" s="28"/>
      <c r="F648" s="29"/>
      <c r="G648" s="29"/>
      <c r="H648" s="30"/>
      <c r="I648" s="29"/>
      <c r="J648" s="29"/>
      <c r="K648" s="29"/>
      <c r="L648" s="29"/>
      <c r="M648" s="29"/>
      <c r="N648" s="29"/>
      <c r="O648" s="29"/>
      <c r="P648" s="29"/>
      <c r="Q648" s="29"/>
      <c r="R648" s="30"/>
      <c r="S648" s="84"/>
      <c r="T648" s="84"/>
      <c r="U648" s="31"/>
      <c r="V648" s="32"/>
      <c r="W648" s="33"/>
      <c r="X648" s="17"/>
      <c r="Y648" s="17"/>
    </row>
    <row r="649" spans="1:25" ht="13" x14ac:dyDescent="0.15">
      <c r="A649" s="15"/>
      <c r="B649" s="26"/>
      <c r="C649" s="27"/>
      <c r="D649" s="26"/>
      <c r="E649" s="28"/>
      <c r="F649" s="29"/>
      <c r="G649" s="29"/>
      <c r="H649" s="30"/>
      <c r="I649" s="29"/>
      <c r="J649" s="29"/>
      <c r="K649" s="29"/>
      <c r="L649" s="29"/>
      <c r="M649" s="29"/>
      <c r="N649" s="29"/>
      <c r="O649" s="29"/>
      <c r="P649" s="29"/>
      <c r="Q649" s="29"/>
      <c r="R649" s="30"/>
      <c r="S649" s="84"/>
      <c r="T649" s="84"/>
      <c r="U649" s="31"/>
      <c r="V649" s="32"/>
      <c r="W649" s="33"/>
      <c r="X649" s="17"/>
      <c r="Y649" s="17"/>
    </row>
    <row r="650" spans="1:25" ht="13" x14ac:dyDescent="0.15">
      <c r="A650" s="15"/>
      <c r="B650" s="26"/>
      <c r="C650" s="27"/>
      <c r="D650" s="26"/>
      <c r="E650" s="28"/>
      <c r="F650" s="29"/>
      <c r="G650" s="29"/>
      <c r="H650" s="30"/>
      <c r="I650" s="29"/>
      <c r="J650" s="29"/>
      <c r="K650" s="29"/>
      <c r="L650" s="29"/>
      <c r="M650" s="29"/>
      <c r="N650" s="29"/>
      <c r="O650" s="29"/>
      <c r="P650" s="29"/>
      <c r="Q650" s="29"/>
      <c r="R650" s="30"/>
      <c r="S650" s="84"/>
      <c r="T650" s="84"/>
      <c r="U650" s="31"/>
      <c r="V650" s="32"/>
      <c r="W650" s="33"/>
      <c r="X650" s="17"/>
      <c r="Y650" s="17"/>
    </row>
    <row r="651" spans="1:25" ht="13" x14ac:dyDescent="0.15">
      <c r="A651" s="15"/>
      <c r="B651" s="26"/>
      <c r="C651" s="27"/>
      <c r="D651" s="26"/>
      <c r="E651" s="28"/>
      <c r="F651" s="29"/>
      <c r="G651" s="29"/>
      <c r="H651" s="30"/>
      <c r="I651" s="29"/>
      <c r="J651" s="29"/>
      <c r="K651" s="29"/>
      <c r="L651" s="29"/>
      <c r="M651" s="29"/>
      <c r="N651" s="29"/>
      <c r="O651" s="29"/>
      <c r="P651" s="29"/>
      <c r="Q651" s="29"/>
      <c r="R651" s="30"/>
      <c r="S651" s="84"/>
      <c r="T651" s="84"/>
      <c r="U651" s="31"/>
      <c r="V651" s="32"/>
      <c r="W651" s="33"/>
      <c r="X651" s="17"/>
      <c r="Y651" s="17"/>
    </row>
    <row r="652" spans="1:25" ht="13" x14ac:dyDescent="0.15">
      <c r="A652" s="15"/>
      <c r="B652" s="26"/>
      <c r="C652" s="27"/>
      <c r="D652" s="26"/>
      <c r="E652" s="28"/>
      <c r="F652" s="29"/>
      <c r="G652" s="29"/>
      <c r="H652" s="30"/>
      <c r="I652" s="29"/>
      <c r="J652" s="29"/>
      <c r="K652" s="29"/>
      <c r="L652" s="29"/>
      <c r="M652" s="29"/>
      <c r="N652" s="29"/>
      <c r="O652" s="29"/>
      <c r="P652" s="29"/>
      <c r="Q652" s="29"/>
      <c r="R652" s="30"/>
      <c r="S652" s="84"/>
      <c r="T652" s="84"/>
      <c r="U652" s="31"/>
      <c r="V652" s="32"/>
      <c r="W652" s="33"/>
      <c r="X652" s="17"/>
      <c r="Y652" s="17"/>
    </row>
    <row r="653" spans="1:25" ht="13" x14ac:dyDescent="0.15">
      <c r="A653" s="15"/>
      <c r="B653" s="26"/>
      <c r="C653" s="27"/>
      <c r="D653" s="26"/>
      <c r="E653" s="28"/>
      <c r="F653" s="29"/>
      <c r="G653" s="29"/>
      <c r="H653" s="30"/>
      <c r="I653" s="29"/>
      <c r="J653" s="29"/>
      <c r="K653" s="29"/>
      <c r="L653" s="29"/>
      <c r="M653" s="29"/>
      <c r="N653" s="29"/>
      <c r="O653" s="29"/>
      <c r="P653" s="29"/>
      <c r="Q653" s="29"/>
      <c r="R653" s="30"/>
      <c r="S653" s="84"/>
      <c r="T653" s="84"/>
      <c r="U653" s="31"/>
      <c r="V653" s="32"/>
      <c r="W653" s="33"/>
      <c r="X653" s="17"/>
      <c r="Y653" s="17"/>
    </row>
    <row r="654" spans="1:25" ht="13" x14ac:dyDescent="0.15">
      <c r="A654" s="15"/>
      <c r="B654" s="26"/>
      <c r="C654" s="27"/>
      <c r="D654" s="26"/>
      <c r="E654" s="28"/>
      <c r="F654" s="29"/>
      <c r="G654" s="29"/>
      <c r="H654" s="30"/>
      <c r="I654" s="29"/>
      <c r="J654" s="29"/>
      <c r="K654" s="29"/>
      <c r="L654" s="29"/>
      <c r="M654" s="29"/>
      <c r="N654" s="29"/>
      <c r="O654" s="29"/>
      <c r="P654" s="29"/>
      <c r="Q654" s="29"/>
      <c r="R654" s="30"/>
      <c r="S654" s="84"/>
      <c r="T654" s="84"/>
      <c r="U654" s="31"/>
      <c r="V654" s="32"/>
      <c r="W654" s="33"/>
      <c r="X654" s="17"/>
      <c r="Y654" s="17"/>
    </row>
    <row r="655" spans="1:25" ht="13" x14ac:dyDescent="0.15">
      <c r="A655" s="15"/>
      <c r="B655" s="26"/>
      <c r="C655" s="27"/>
      <c r="D655" s="26"/>
      <c r="E655" s="28"/>
      <c r="F655" s="29"/>
      <c r="G655" s="29"/>
      <c r="H655" s="30"/>
      <c r="I655" s="29"/>
      <c r="J655" s="29"/>
      <c r="K655" s="29"/>
      <c r="L655" s="29"/>
      <c r="M655" s="29"/>
      <c r="N655" s="29"/>
      <c r="O655" s="29"/>
      <c r="P655" s="29"/>
      <c r="Q655" s="29"/>
      <c r="R655" s="30"/>
      <c r="S655" s="84"/>
      <c r="T655" s="84"/>
      <c r="U655" s="31"/>
      <c r="V655" s="32"/>
      <c r="W655" s="33"/>
      <c r="X655" s="17"/>
      <c r="Y655" s="17"/>
    </row>
    <row r="656" spans="1:25" ht="13" x14ac:dyDescent="0.15">
      <c r="A656" s="15"/>
      <c r="B656" s="26"/>
      <c r="C656" s="27"/>
      <c r="D656" s="26"/>
      <c r="E656" s="28"/>
      <c r="F656" s="29"/>
      <c r="G656" s="29"/>
      <c r="H656" s="30"/>
      <c r="I656" s="29"/>
      <c r="J656" s="29"/>
      <c r="K656" s="29"/>
      <c r="L656" s="29"/>
      <c r="M656" s="29"/>
      <c r="N656" s="29"/>
      <c r="O656" s="29"/>
      <c r="P656" s="29"/>
      <c r="Q656" s="29"/>
      <c r="R656" s="30"/>
      <c r="S656" s="84"/>
      <c r="T656" s="84"/>
      <c r="U656" s="31"/>
      <c r="V656" s="32"/>
      <c r="W656" s="33"/>
      <c r="X656" s="17"/>
      <c r="Y656" s="17"/>
    </row>
    <row r="657" spans="1:25" ht="13" x14ac:dyDescent="0.15">
      <c r="A657" s="15"/>
      <c r="B657" s="26"/>
      <c r="C657" s="27"/>
      <c r="D657" s="26"/>
      <c r="E657" s="28"/>
      <c r="F657" s="29"/>
      <c r="G657" s="29"/>
      <c r="H657" s="30"/>
      <c r="I657" s="29"/>
      <c r="J657" s="29"/>
      <c r="K657" s="29"/>
      <c r="L657" s="29"/>
      <c r="M657" s="29"/>
      <c r="N657" s="29"/>
      <c r="O657" s="29"/>
      <c r="P657" s="29"/>
      <c r="Q657" s="29"/>
      <c r="R657" s="30"/>
      <c r="S657" s="84"/>
      <c r="T657" s="84"/>
      <c r="U657" s="31"/>
      <c r="V657" s="32"/>
      <c r="W657" s="33"/>
      <c r="X657" s="17"/>
      <c r="Y657" s="17"/>
    </row>
    <row r="658" spans="1:25" ht="13" x14ac:dyDescent="0.15">
      <c r="A658" s="15"/>
      <c r="B658" s="26"/>
      <c r="C658" s="27"/>
      <c r="D658" s="26"/>
      <c r="E658" s="28"/>
      <c r="F658" s="29"/>
      <c r="G658" s="29"/>
      <c r="H658" s="30"/>
      <c r="I658" s="29"/>
      <c r="J658" s="29"/>
      <c r="K658" s="29"/>
      <c r="L658" s="29"/>
      <c r="M658" s="29"/>
      <c r="N658" s="29"/>
      <c r="O658" s="29"/>
      <c r="P658" s="29"/>
      <c r="Q658" s="29"/>
      <c r="R658" s="30"/>
      <c r="S658" s="84"/>
      <c r="T658" s="84"/>
      <c r="U658" s="31"/>
      <c r="V658" s="32"/>
      <c r="W658" s="33"/>
      <c r="X658" s="17"/>
      <c r="Y658" s="17"/>
    </row>
    <row r="659" spans="1:25" ht="13" x14ac:dyDescent="0.15">
      <c r="A659" s="15"/>
      <c r="B659" s="26"/>
      <c r="C659" s="27"/>
      <c r="D659" s="26"/>
      <c r="E659" s="28"/>
      <c r="F659" s="29"/>
      <c r="G659" s="29"/>
      <c r="H659" s="30"/>
      <c r="I659" s="29"/>
      <c r="J659" s="29"/>
      <c r="K659" s="29"/>
      <c r="L659" s="29"/>
      <c r="M659" s="29"/>
      <c r="N659" s="29"/>
      <c r="O659" s="29"/>
      <c r="P659" s="29"/>
      <c r="Q659" s="29"/>
      <c r="R659" s="30"/>
      <c r="S659" s="84"/>
      <c r="T659" s="84"/>
      <c r="U659" s="31"/>
      <c r="V659" s="32"/>
      <c r="W659" s="33"/>
      <c r="X659" s="17"/>
      <c r="Y659" s="17"/>
    </row>
    <row r="660" spans="1:25" ht="13" x14ac:dyDescent="0.15">
      <c r="A660" s="15"/>
      <c r="B660" s="26"/>
      <c r="C660" s="27"/>
      <c r="D660" s="26"/>
      <c r="E660" s="28"/>
      <c r="F660" s="29"/>
      <c r="G660" s="29"/>
      <c r="H660" s="30"/>
      <c r="I660" s="29"/>
      <c r="J660" s="29"/>
      <c r="K660" s="29"/>
      <c r="L660" s="29"/>
      <c r="M660" s="29"/>
      <c r="N660" s="29"/>
      <c r="O660" s="29"/>
      <c r="P660" s="29"/>
      <c r="Q660" s="29"/>
      <c r="R660" s="30"/>
      <c r="S660" s="84"/>
      <c r="T660" s="84"/>
      <c r="U660" s="31"/>
      <c r="V660" s="32"/>
      <c r="W660" s="33"/>
      <c r="X660" s="17"/>
      <c r="Y660" s="17"/>
    </row>
    <row r="661" spans="1:25" ht="13" x14ac:dyDescent="0.15">
      <c r="A661" s="15"/>
      <c r="B661" s="26"/>
      <c r="C661" s="27"/>
      <c r="D661" s="26"/>
      <c r="E661" s="28"/>
      <c r="F661" s="29"/>
      <c r="G661" s="29"/>
      <c r="H661" s="30"/>
      <c r="I661" s="29"/>
      <c r="J661" s="29"/>
      <c r="K661" s="29"/>
      <c r="L661" s="29"/>
      <c r="M661" s="29"/>
      <c r="N661" s="29"/>
      <c r="O661" s="29"/>
      <c r="P661" s="29"/>
      <c r="Q661" s="29"/>
      <c r="R661" s="30"/>
      <c r="S661" s="84"/>
      <c r="T661" s="84"/>
      <c r="U661" s="31"/>
      <c r="V661" s="32"/>
      <c r="W661" s="33"/>
      <c r="X661" s="17"/>
      <c r="Y661" s="17"/>
    </row>
    <row r="662" spans="1:25" ht="13" x14ac:dyDescent="0.15">
      <c r="A662" s="15"/>
      <c r="B662" s="26"/>
      <c r="C662" s="27"/>
      <c r="D662" s="26"/>
      <c r="E662" s="28"/>
      <c r="F662" s="29"/>
      <c r="G662" s="29"/>
      <c r="H662" s="30"/>
      <c r="I662" s="29"/>
      <c r="J662" s="29"/>
      <c r="K662" s="29"/>
      <c r="L662" s="29"/>
      <c r="M662" s="29"/>
      <c r="N662" s="29"/>
      <c r="O662" s="29"/>
      <c r="P662" s="29"/>
      <c r="Q662" s="29"/>
      <c r="R662" s="30"/>
      <c r="S662" s="84"/>
      <c r="T662" s="84"/>
      <c r="U662" s="31"/>
      <c r="V662" s="32"/>
      <c r="W662" s="33"/>
      <c r="X662" s="17"/>
      <c r="Y662" s="17"/>
    </row>
    <row r="663" spans="1:25" ht="13" x14ac:dyDescent="0.15">
      <c r="A663" s="15"/>
      <c r="B663" s="26"/>
      <c r="C663" s="27"/>
      <c r="D663" s="26"/>
      <c r="E663" s="28"/>
      <c r="F663" s="29"/>
      <c r="G663" s="29"/>
      <c r="H663" s="30"/>
      <c r="I663" s="29"/>
      <c r="J663" s="29"/>
      <c r="K663" s="29"/>
      <c r="L663" s="29"/>
      <c r="M663" s="29"/>
      <c r="N663" s="29"/>
      <c r="O663" s="29"/>
      <c r="P663" s="29"/>
      <c r="Q663" s="29"/>
      <c r="R663" s="30"/>
      <c r="S663" s="84"/>
      <c r="T663" s="84"/>
      <c r="U663" s="31"/>
      <c r="V663" s="32"/>
      <c r="W663" s="33"/>
      <c r="X663" s="17"/>
      <c r="Y663" s="17"/>
    </row>
    <row r="664" spans="1:25" ht="13" x14ac:dyDescent="0.15">
      <c r="A664" s="15"/>
      <c r="B664" s="26"/>
      <c r="C664" s="27"/>
      <c r="D664" s="26"/>
      <c r="E664" s="28"/>
      <c r="F664" s="29"/>
      <c r="G664" s="29"/>
      <c r="H664" s="30"/>
      <c r="I664" s="29"/>
      <c r="J664" s="29"/>
      <c r="K664" s="29"/>
      <c r="L664" s="29"/>
      <c r="M664" s="29"/>
      <c r="N664" s="29"/>
      <c r="O664" s="29"/>
      <c r="P664" s="29"/>
      <c r="Q664" s="29"/>
      <c r="R664" s="30"/>
      <c r="S664" s="84"/>
      <c r="T664" s="84"/>
      <c r="U664" s="31"/>
      <c r="V664" s="32"/>
      <c r="W664" s="33"/>
      <c r="X664" s="17"/>
      <c r="Y664" s="17"/>
    </row>
    <row r="665" spans="1:25" ht="13" x14ac:dyDescent="0.15">
      <c r="A665" s="15"/>
      <c r="B665" s="26"/>
      <c r="C665" s="27"/>
      <c r="D665" s="26"/>
      <c r="E665" s="28"/>
      <c r="F665" s="29"/>
      <c r="G665" s="29"/>
      <c r="H665" s="30"/>
      <c r="I665" s="29"/>
      <c r="J665" s="29"/>
      <c r="K665" s="29"/>
      <c r="L665" s="29"/>
      <c r="M665" s="29"/>
      <c r="N665" s="29"/>
      <c r="O665" s="29"/>
      <c r="P665" s="29"/>
      <c r="Q665" s="29"/>
      <c r="R665" s="30"/>
      <c r="S665" s="84"/>
      <c r="T665" s="84"/>
      <c r="U665" s="31"/>
      <c r="V665" s="32"/>
      <c r="W665" s="33"/>
      <c r="X665" s="17"/>
      <c r="Y665" s="17"/>
    </row>
    <row r="666" spans="1:25" ht="13" x14ac:dyDescent="0.15">
      <c r="A666" s="15"/>
      <c r="B666" s="26"/>
      <c r="C666" s="27"/>
      <c r="D666" s="26"/>
      <c r="E666" s="28"/>
      <c r="F666" s="29"/>
      <c r="G666" s="29"/>
      <c r="H666" s="30"/>
      <c r="I666" s="29"/>
      <c r="J666" s="29"/>
      <c r="K666" s="29"/>
      <c r="L666" s="29"/>
      <c r="M666" s="29"/>
      <c r="N666" s="29"/>
      <c r="O666" s="29"/>
      <c r="P666" s="29"/>
      <c r="Q666" s="29"/>
      <c r="R666" s="30"/>
      <c r="S666" s="84"/>
      <c r="T666" s="84"/>
      <c r="U666" s="31"/>
      <c r="V666" s="32"/>
      <c r="W666" s="33"/>
      <c r="X666" s="17"/>
      <c r="Y666" s="17"/>
    </row>
    <row r="667" spans="1:25" ht="13" x14ac:dyDescent="0.15">
      <c r="A667" s="15"/>
      <c r="B667" s="26"/>
      <c r="C667" s="27"/>
      <c r="D667" s="26"/>
      <c r="E667" s="28"/>
      <c r="F667" s="29"/>
      <c r="G667" s="29"/>
      <c r="H667" s="30"/>
      <c r="I667" s="29"/>
      <c r="J667" s="29"/>
      <c r="K667" s="29"/>
      <c r="L667" s="29"/>
      <c r="M667" s="29"/>
      <c r="N667" s="29"/>
      <c r="O667" s="29"/>
      <c r="P667" s="29"/>
      <c r="Q667" s="29"/>
      <c r="R667" s="30"/>
      <c r="S667" s="84"/>
      <c r="T667" s="84"/>
      <c r="U667" s="31"/>
      <c r="V667" s="32"/>
      <c r="W667" s="33"/>
      <c r="X667" s="17"/>
      <c r="Y667" s="17"/>
    </row>
    <row r="668" spans="1:25" ht="13" x14ac:dyDescent="0.15">
      <c r="A668" s="15"/>
      <c r="B668" s="26"/>
      <c r="C668" s="27"/>
      <c r="D668" s="26"/>
      <c r="E668" s="28"/>
      <c r="F668" s="29"/>
      <c r="G668" s="29"/>
      <c r="H668" s="30"/>
      <c r="I668" s="29"/>
      <c r="J668" s="29"/>
      <c r="K668" s="29"/>
      <c r="L668" s="29"/>
      <c r="M668" s="29"/>
      <c r="N668" s="29"/>
      <c r="O668" s="29"/>
      <c r="P668" s="29"/>
      <c r="Q668" s="29"/>
      <c r="R668" s="30"/>
      <c r="S668" s="84"/>
      <c r="T668" s="84"/>
      <c r="U668" s="31"/>
      <c r="V668" s="32"/>
      <c r="W668" s="33"/>
      <c r="X668" s="17"/>
      <c r="Y668" s="17"/>
    </row>
    <row r="669" spans="1:25" ht="13" x14ac:dyDescent="0.15">
      <c r="A669" s="15"/>
      <c r="B669" s="26"/>
      <c r="C669" s="27"/>
      <c r="D669" s="26"/>
      <c r="E669" s="28"/>
      <c r="F669" s="29"/>
      <c r="G669" s="29"/>
      <c r="H669" s="30"/>
      <c r="I669" s="29"/>
      <c r="J669" s="29"/>
      <c r="K669" s="29"/>
      <c r="L669" s="29"/>
      <c r="M669" s="29"/>
      <c r="N669" s="29"/>
      <c r="O669" s="29"/>
      <c r="P669" s="29"/>
      <c r="Q669" s="29"/>
      <c r="R669" s="30"/>
      <c r="S669" s="84"/>
      <c r="T669" s="84"/>
      <c r="U669" s="31"/>
      <c r="V669" s="32"/>
      <c r="W669" s="33"/>
      <c r="X669" s="17"/>
      <c r="Y669" s="17"/>
    </row>
    <row r="670" spans="1:25" ht="13" x14ac:dyDescent="0.15">
      <c r="A670" s="15"/>
      <c r="B670" s="26"/>
      <c r="C670" s="27"/>
      <c r="D670" s="26"/>
      <c r="E670" s="28"/>
      <c r="F670" s="29"/>
      <c r="G670" s="29"/>
      <c r="H670" s="30"/>
      <c r="I670" s="29"/>
      <c r="J670" s="29"/>
      <c r="K670" s="29"/>
      <c r="L670" s="29"/>
      <c r="M670" s="29"/>
      <c r="N670" s="29"/>
      <c r="O670" s="29"/>
      <c r="P670" s="29"/>
      <c r="Q670" s="29"/>
      <c r="R670" s="30"/>
      <c r="S670" s="84"/>
      <c r="T670" s="84"/>
      <c r="U670" s="31"/>
      <c r="V670" s="32"/>
      <c r="W670" s="33"/>
      <c r="X670" s="17"/>
      <c r="Y670" s="17"/>
    </row>
    <row r="671" spans="1:25" ht="13" x14ac:dyDescent="0.15">
      <c r="A671" s="15"/>
      <c r="B671" s="26"/>
      <c r="C671" s="27"/>
      <c r="D671" s="26"/>
      <c r="E671" s="28"/>
      <c r="F671" s="29"/>
      <c r="G671" s="29"/>
      <c r="H671" s="30"/>
      <c r="I671" s="29"/>
      <c r="J671" s="29"/>
      <c r="K671" s="29"/>
      <c r="L671" s="29"/>
      <c r="M671" s="29"/>
      <c r="N671" s="29"/>
      <c r="O671" s="29"/>
      <c r="P671" s="29"/>
      <c r="Q671" s="29"/>
      <c r="R671" s="30"/>
      <c r="S671" s="84"/>
      <c r="T671" s="84"/>
      <c r="U671" s="31"/>
      <c r="V671" s="32"/>
      <c r="W671" s="33"/>
      <c r="X671" s="17"/>
      <c r="Y671" s="17"/>
    </row>
    <row r="672" spans="1:25" ht="13" x14ac:dyDescent="0.15">
      <c r="A672" s="15"/>
      <c r="B672" s="26"/>
      <c r="C672" s="27"/>
      <c r="D672" s="26"/>
      <c r="E672" s="28"/>
      <c r="F672" s="29"/>
      <c r="G672" s="29"/>
      <c r="H672" s="30"/>
      <c r="I672" s="29"/>
      <c r="J672" s="29"/>
      <c r="K672" s="29"/>
      <c r="L672" s="29"/>
      <c r="M672" s="29"/>
      <c r="N672" s="29"/>
      <c r="O672" s="29"/>
      <c r="P672" s="29"/>
      <c r="Q672" s="29"/>
      <c r="R672" s="30"/>
      <c r="S672" s="84"/>
      <c r="T672" s="84"/>
      <c r="U672" s="31"/>
      <c r="V672" s="32"/>
      <c r="W672" s="33"/>
      <c r="X672" s="17"/>
      <c r="Y672" s="17"/>
    </row>
    <row r="673" spans="1:25" ht="13" x14ac:dyDescent="0.15">
      <c r="A673" s="15"/>
      <c r="B673" s="26"/>
      <c r="C673" s="27"/>
      <c r="D673" s="26"/>
      <c r="E673" s="28"/>
      <c r="F673" s="29"/>
      <c r="G673" s="29"/>
      <c r="H673" s="30"/>
      <c r="I673" s="29"/>
      <c r="J673" s="29"/>
      <c r="K673" s="29"/>
      <c r="L673" s="29"/>
      <c r="M673" s="29"/>
      <c r="N673" s="29"/>
      <c r="O673" s="29"/>
      <c r="P673" s="29"/>
      <c r="Q673" s="29"/>
      <c r="R673" s="30"/>
      <c r="S673" s="84"/>
      <c r="T673" s="84"/>
      <c r="U673" s="31"/>
      <c r="V673" s="32"/>
      <c r="W673" s="33"/>
      <c r="X673" s="17"/>
      <c r="Y673" s="17"/>
    </row>
    <row r="674" spans="1:25" ht="13" x14ac:dyDescent="0.15">
      <c r="A674" s="15"/>
      <c r="B674" s="26"/>
      <c r="C674" s="27"/>
      <c r="D674" s="26"/>
      <c r="E674" s="28"/>
      <c r="F674" s="29"/>
      <c r="G674" s="29"/>
      <c r="H674" s="30"/>
      <c r="I674" s="29"/>
      <c r="J674" s="29"/>
      <c r="K674" s="29"/>
      <c r="L674" s="29"/>
      <c r="M674" s="29"/>
      <c r="N674" s="29"/>
      <c r="O674" s="29"/>
      <c r="P674" s="29"/>
      <c r="Q674" s="29"/>
      <c r="R674" s="30"/>
      <c r="S674" s="84"/>
      <c r="T674" s="84"/>
      <c r="U674" s="31"/>
      <c r="V674" s="32"/>
      <c r="W674" s="33"/>
      <c r="X674" s="17"/>
      <c r="Y674" s="17"/>
    </row>
    <row r="675" spans="1:25" ht="13" x14ac:dyDescent="0.15">
      <c r="A675" s="15"/>
      <c r="B675" s="26"/>
      <c r="C675" s="27"/>
      <c r="D675" s="26"/>
      <c r="E675" s="28"/>
      <c r="F675" s="29"/>
      <c r="G675" s="29"/>
      <c r="H675" s="30"/>
      <c r="I675" s="29"/>
      <c r="J675" s="29"/>
      <c r="K675" s="29"/>
      <c r="L675" s="29"/>
      <c r="M675" s="29"/>
      <c r="N675" s="29"/>
      <c r="O675" s="29"/>
      <c r="P675" s="29"/>
      <c r="Q675" s="29"/>
      <c r="R675" s="30"/>
      <c r="S675" s="84"/>
      <c r="T675" s="84"/>
      <c r="U675" s="31"/>
      <c r="V675" s="32"/>
      <c r="W675" s="33"/>
      <c r="X675" s="17"/>
      <c r="Y675" s="17"/>
    </row>
    <row r="676" spans="1:25" ht="13" x14ac:dyDescent="0.15">
      <c r="A676" s="15"/>
      <c r="B676" s="26"/>
      <c r="C676" s="27"/>
      <c r="D676" s="26"/>
      <c r="E676" s="28"/>
      <c r="F676" s="29"/>
      <c r="G676" s="29"/>
      <c r="H676" s="30"/>
      <c r="I676" s="29"/>
      <c r="J676" s="29"/>
      <c r="K676" s="29"/>
      <c r="L676" s="29"/>
      <c r="M676" s="29"/>
      <c r="N676" s="29"/>
      <c r="O676" s="29"/>
      <c r="P676" s="29"/>
      <c r="Q676" s="29"/>
      <c r="R676" s="30"/>
      <c r="S676" s="84"/>
      <c r="T676" s="84"/>
      <c r="U676" s="31"/>
      <c r="V676" s="32"/>
      <c r="W676" s="33"/>
      <c r="X676" s="17"/>
      <c r="Y676" s="17"/>
    </row>
    <row r="677" spans="1:25" ht="13" x14ac:dyDescent="0.15">
      <c r="A677" s="15"/>
      <c r="B677" s="26"/>
      <c r="C677" s="27"/>
      <c r="D677" s="26"/>
      <c r="E677" s="28"/>
      <c r="F677" s="29"/>
      <c r="G677" s="29"/>
      <c r="H677" s="30"/>
      <c r="I677" s="29"/>
      <c r="J677" s="29"/>
      <c r="K677" s="29"/>
      <c r="L677" s="29"/>
      <c r="M677" s="29"/>
      <c r="N677" s="29"/>
      <c r="O677" s="29"/>
      <c r="P677" s="29"/>
      <c r="Q677" s="29"/>
      <c r="R677" s="30"/>
      <c r="S677" s="84"/>
      <c r="T677" s="84"/>
      <c r="U677" s="31"/>
      <c r="V677" s="32"/>
      <c r="W677" s="33"/>
      <c r="X677" s="17"/>
      <c r="Y677" s="17"/>
    </row>
    <row r="678" spans="1:25" ht="13" x14ac:dyDescent="0.15">
      <c r="A678" s="15"/>
      <c r="B678" s="26"/>
      <c r="C678" s="27"/>
      <c r="D678" s="26"/>
      <c r="E678" s="28"/>
      <c r="F678" s="29"/>
      <c r="G678" s="29"/>
      <c r="H678" s="30"/>
      <c r="I678" s="29"/>
      <c r="J678" s="29"/>
      <c r="K678" s="29"/>
      <c r="L678" s="29"/>
      <c r="M678" s="29"/>
      <c r="N678" s="29"/>
      <c r="O678" s="29"/>
      <c r="P678" s="29"/>
      <c r="Q678" s="29"/>
      <c r="R678" s="30"/>
      <c r="S678" s="84"/>
      <c r="T678" s="84"/>
      <c r="U678" s="31"/>
      <c r="V678" s="32"/>
      <c r="W678" s="33"/>
      <c r="X678" s="17"/>
      <c r="Y678" s="17"/>
    </row>
    <row r="679" spans="1:25" ht="13" x14ac:dyDescent="0.15">
      <c r="A679" s="15"/>
      <c r="B679" s="26"/>
      <c r="C679" s="27"/>
      <c r="D679" s="26"/>
      <c r="E679" s="28"/>
      <c r="F679" s="29"/>
      <c r="G679" s="29"/>
      <c r="H679" s="30"/>
      <c r="I679" s="29"/>
      <c r="J679" s="29"/>
      <c r="K679" s="29"/>
      <c r="L679" s="29"/>
      <c r="M679" s="29"/>
      <c r="N679" s="29"/>
      <c r="O679" s="29"/>
      <c r="P679" s="29"/>
      <c r="Q679" s="29"/>
      <c r="R679" s="30"/>
      <c r="S679" s="84"/>
      <c r="T679" s="84"/>
      <c r="U679" s="31"/>
      <c r="V679" s="32"/>
      <c r="W679" s="33"/>
      <c r="X679" s="17"/>
      <c r="Y679" s="17"/>
    </row>
    <row r="680" spans="1:25" ht="13" x14ac:dyDescent="0.15">
      <c r="A680" s="15"/>
      <c r="B680" s="26"/>
      <c r="C680" s="27"/>
      <c r="D680" s="26"/>
      <c r="E680" s="28"/>
      <c r="F680" s="29"/>
      <c r="G680" s="29"/>
      <c r="H680" s="30"/>
      <c r="I680" s="29"/>
      <c r="J680" s="29"/>
      <c r="K680" s="29"/>
      <c r="L680" s="29"/>
      <c r="M680" s="29"/>
      <c r="N680" s="29"/>
      <c r="O680" s="29"/>
      <c r="P680" s="29"/>
      <c r="Q680" s="29"/>
      <c r="R680" s="30"/>
      <c r="S680" s="84"/>
      <c r="T680" s="84"/>
      <c r="U680" s="31"/>
      <c r="V680" s="32"/>
      <c r="W680" s="33"/>
      <c r="X680" s="17"/>
      <c r="Y680" s="17"/>
    </row>
    <row r="681" spans="1:25" ht="13" x14ac:dyDescent="0.15">
      <c r="A681" s="15"/>
      <c r="B681" s="26"/>
      <c r="C681" s="27"/>
      <c r="D681" s="26"/>
      <c r="E681" s="28"/>
      <c r="F681" s="29"/>
      <c r="G681" s="29"/>
      <c r="H681" s="30"/>
      <c r="I681" s="29"/>
      <c r="J681" s="29"/>
      <c r="K681" s="29"/>
      <c r="L681" s="29"/>
      <c r="M681" s="29"/>
      <c r="N681" s="29"/>
      <c r="O681" s="29"/>
      <c r="P681" s="29"/>
      <c r="Q681" s="29"/>
      <c r="R681" s="30"/>
      <c r="S681" s="84"/>
      <c r="T681" s="84"/>
      <c r="U681" s="31"/>
      <c r="V681" s="32"/>
      <c r="W681" s="33"/>
      <c r="X681" s="17"/>
      <c r="Y681" s="17"/>
    </row>
    <row r="682" spans="1:25" ht="13" x14ac:dyDescent="0.15">
      <c r="A682" s="15"/>
      <c r="B682" s="26"/>
      <c r="C682" s="27"/>
      <c r="D682" s="26"/>
      <c r="E682" s="28"/>
      <c r="F682" s="29"/>
      <c r="G682" s="29"/>
      <c r="H682" s="30"/>
      <c r="I682" s="29"/>
      <c r="J682" s="29"/>
      <c r="K682" s="29"/>
      <c r="L682" s="29"/>
      <c r="M682" s="29"/>
      <c r="N682" s="29"/>
      <c r="O682" s="29"/>
      <c r="P682" s="29"/>
      <c r="Q682" s="29"/>
      <c r="R682" s="30"/>
      <c r="S682" s="84"/>
      <c r="T682" s="84"/>
      <c r="U682" s="31"/>
      <c r="V682" s="32"/>
      <c r="W682" s="33"/>
      <c r="X682" s="17"/>
      <c r="Y682" s="17"/>
    </row>
    <row r="683" spans="1:25" ht="13" x14ac:dyDescent="0.15">
      <c r="A683" s="15"/>
      <c r="B683" s="26"/>
      <c r="C683" s="27"/>
      <c r="D683" s="26"/>
      <c r="E683" s="28"/>
      <c r="F683" s="29"/>
      <c r="G683" s="29"/>
      <c r="H683" s="30"/>
      <c r="I683" s="29"/>
      <c r="J683" s="29"/>
      <c r="K683" s="29"/>
      <c r="L683" s="29"/>
      <c r="M683" s="29"/>
      <c r="N683" s="29"/>
      <c r="O683" s="29"/>
      <c r="P683" s="29"/>
      <c r="Q683" s="29"/>
      <c r="R683" s="30"/>
      <c r="S683" s="84"/>
      <c r="T683" s="84"/>
      <c r="U683" s="31"/>
      <c r="V683" s="32"/>
      <c r="W683" s="33"/>
      <c r="X683" s="17"/>
      <c r="Y683" s="17"/>
    </row>
    <row r="684" spans="1:25" ht="13" x14ac:dyDescent="0.15">
      <c r="A684" s="15"/>
      <c r="B684" s="26"/>
      <c r="C684" s="27"/>
      <c r="D684" s="26"/>
      <c r="E684" s="28"/>
      <c r="F684" s="29"/>
      <c r="G684" s="29"/>
      <c r="H684" s="30"/>
      <c r="I684" s="29"/>
      <c r="J684" s="29"/>
      <c r="K684" s="29"/>
      <c r="L684" s="29"/>
      <c r="M684" s="29"/>
      <c r="N684" s="29"/>
      <c r="O684" s="29"/>
      <c r="P684" s="29"/>
      <c r="Q684" s="29"/>
      <c r="R684" s="30"/>
      <c r="S684" s="84"/>
      <c r="T684" s="84"/>
      <c r="U684" s="31"/>
      <c r="V684" s="32"/>
      <c r="W684" s="33"/>
      <c r="X684" s="17"/>
      <c r="Y684" s="17"/>
    </row>
    <row r="685" spans="1:25" ht="13" x14ac:dyDescent="0.15">
      <c r="A685" s="15"/>
      <c r="B685" s="26"/>
      <c r="C685" s="27"/>
      <c r="D685" s="26"/>
      <c r="E685" s="28"/>
      <c r="F685" s="29"/>
      <c r="G685" s="29"/>
      <c r="H685" s="30"/>
      <c r="I685" s="29"/>
      <c r="J685" s="29"/>
      <c r="K685" s="29"/>
      <c r="L685" s="29"/>
      <c r="M685" s="29"/>
      <c r="N685" s="29"/>
      <c r="O685" s="29"/>
      <c r="P685" s="29"/>
      <c r="Q685" s="29"/>
      <c r="R685" s="30"/>
      <c r="S685" s="84"/>
      <c r="T685" s="84"/>
      <c r="U685" s="31"/>
      <c r="V685" s="32"/>
      <c r="W685" s="33"/>
      <c r="X685" s="17"/>
      <c r="Y685" s="17"/>
    </row>
    <row r="686" spans="1:25" ht="13" x14ac:dyDescent="0.15">
      <c r="A686" s="15"/>
      <c r="B686" s="26"/>
      <c r="C686" s="27"/>
      <c r="D686" s="26"/>
      <c r="E686" s="28"/>
      <c r="F686" s="29"/>
      <c r="G686" s="29"/>
      <c r="H686" s="30"/>
      <c r="I686" s="29"/>
      <c r="J686" s="29"/>
      <c r="K686" s="29"/>
      <c r="L686" s="29"/>
      <c r="M686" s="29"/>
      <c r="N686" s="29"/>
      <c r="O686" s="29"/>
      <c r="P686" s="29"/>
      <c r="Q686" s="29"/>
      <c r="R686" s="30"/>
      <c r="S686" s="84"/>
      <c r="T686" s="84"/>
      <c r="U686" s="31"/>
      <c r="V686" s="32"/>
      <c r="W686" s="33"/>
      <c r="X686" s="17"/>
      <c r="Y686" s="17"/>
    </row>
    <row r="687" spans="1:25" ht="13" x14ac:dyDescent="0.15">
      <c r="A687" s="15"/>
      <c r="B687" s="26"/>
      <c r="C687" s="27"/>
      <c r="D687" s="26"/>
      <c r="E687" s="28"/>
      <c r="F687" s="29"/>
      <c r="G687" s="29"/>
      <c r="H687" s="30"/>
      <c r="I687" s="29"/>
      <c r="J687" s="29"/>
      <c r="K687" s="29"/>
      <c r="L687" s="29"/>
      <c r="M687" s="29"/>
      <c r="N687" s="29"/>
      <c r="O687" s="29"/>
      <c r="P687" s="29"/>
      <c r="Q687" s="29"/>
      <c r="R687" s="30"/>
      <c r="S687" s="84"/>
      <c r="T687" s="84"/>
      <c r="U687" s="31"/>
      <c r="V687" s="32"/>
      <c r="W687" s="33"/>
      <c r="X687" s="17"/>
      <c r="Y687" s="17"/>
    </row>
    <row r="688" spans="1:25" ht="13" x14ac:dyDescent="0.15">
      <c r="A688" s="15"/>
      <c r="B688" s="26"/>
      <c r="C688" s="27"/>
      <c r="D688" s="26"/>
      <c r="E688" s="28"/>
      <c r="F688" s="29"/>
      <c r="G688" s="29"/>
      <c r="H688" s="30"/>
      <c r="I688" s="29"/>
      <c r="J688" s="29"/>
      <c r="K688" s="29"/>
      <c r="L688" s="29"/>
      <c r="M688" s="29"/>
      <c r="N688" s="29"/>
      <c r="O688" s="29"/>
      <c r="P688" s="29"/>
      <c r="Q688" s="29"/>
      <c r="R688" s="30"/>
      <c r="S688" s="84"/>
      <c r="T688" s="84"/>
      <c r="U688" s="31"/>
      <c r="V688" s="32"/>
      <c r="W688" s="33"/>
      <c r="X688" s="17"/>
      <c r="Y688" s="17"/>
    </row>
    <row r="689" spans="1:25" ht="13" x14ac:dyDescent="0.15">
      <c r="A689" s="15"/>
      <c r="B689" s="26"/>
      <c r="C689" s="27"/>
      <c r="D689" s="26"/>
      <c r="E689" s="28"/>
      <c r="F689" s="29"/>
      <c r="G689" s="29"/>
      <c r="H689" s="30"/>
      <c r="I689" s="29"/>
      <c r="J689" s="29"/>
      <c r="K689" s="29"/>
      <c r="L689" s="29"/>
      <c r="M689" s="29"/>
      <c r="N689" s="29"/>
      <c r="O689" s="29"/>
      <c r="P689" s="29"/>
      <c r="Q689" s="29"/>
      <c r="R689" s="30"/>
      <c r="S689" s="84"/>
      <c r="T689" s="84"/>
      <c r="U689" s="31"/>
      <c r="V689" s="32"/>
      <c r="W689" s="33"/>
      <c r="X689" s="17"/>
      <c r="Y689" s="17"/>
    </row>
    <row r="690" spans="1:25" ht="13" x14ac:dyDescent="0.15">
      <c r="A690" s="15"/>
      <c r="B690" s="26"/>
      <c r="C690" s="27"/>
      <c r="D690" s="26"/>
      <c r="E690" s="28"/>
      <c r="F690" s="29"/>
      <c r="G690" s="29"/>
      <c r="H690" s="30"/>
      <c r="I690" s="29"/>
      <c r="J690" s="29"/>
      <c r="K690" s="29"/>
      <c r="L690" s="29"/>
      <c r="M690" s="29"/>
      <c r="N690" s="29"/>
      <c r="O690" s="29"/>
      <c r="P690" s="29"/>
      <c r="Q690" s="29"/>
      <c r="R690" s="30"/>
      <c r="S690" s="84"/>
      <c r="T690" s="84"/>
      <c r="U690" s="31"/>
      <c r="V690" s="32"/>
      <c r="W690" s="33"/>
      <c r="X690" s="17"/>
      <c r="Y690" s="17"/>
    </row>
    <row r="691" spans="1:25" ht="13" x14ac:dyDescent="0.15">
      <c r="A691" s="15"/>
      <c r="B691" s="26"/>
      <c r="C691" s="27"/>
      <c r="D691" s="26"/>
      <c r="E691" s="28"/>
      <c r="F691" s="29"/>
      <c r="G691" s="29"/>
      <c r="H691" s="30"/>
      <c r="I691" s="29"/>
      <c r="J691" s="29"/>
      <c r="K691" s="29"/>
      <c r="L691" s="29"/>
      <c r="M691" s="29"/>
      <c r="N691" s="29"/>
      <c r="O691" s="29"/>
      <c r="P691" s="29"/>
      <c r="Q691" s="29"/>
      <c r="R691" s="30"/>
      <c r="S691" s="84"/>
      <c r="T691" s="84"/>
      <c r="U691" s="31"/>
      <c r="V691" s="32"/>
      <c r="W691" s="33"/>
      <c r="X691" s="17"/>
      <c r="Y691" s="17"/>
    </row>
    <row r="692" spans="1:25" ht="13" x14ac:dyDescent="0.15">
      <c r="A692" s="15"/>
      <c r="B692" s="26"/>
      <c r="C692" s="27"/>
      <c r="D692" s="26"/>
      <c r="E692" s="28"/>
      <c r="F692" s="29"/>
      <c r="G692" s="29"/>
      <c r="H692" s="30"/>
      <c r="I692" s="29"/>
      <c r="J692" s="29"/>
      <c r="K692" s="29"/>
      <c r="L692" s="29"/>
      <c r="M692" s="29"/>
      <c r="N692" s="29"/>
      <c r="O692" s="29"/>
      <c r="P692" s="29"/>
      <c r="Q692" s="29"/>
      <c r="R692" s="30"/>
      <c r="S692" s="84"/>
      <c r="T692" s="84"/>
      <c r="U692" s="31"/>
      <c r="V692" s="32"/>
      <c r="W692" s="33"/>
      <c r="X692" s="17"/>
      <c r="Y692" s="17"/>
    </row>
    <row r="693" spans="1:25" ht="13" x14ac:dyDescent="0.15">
      <c r="A693" s="15"/>
      <c r="B693" s="26"/>
      <c r="C693" s="27"/>
      <c r="D693" s="26"/>
      <c r="E693" s="28"/>
      <c r="F693" s="29"/>
      <c r="G693" s="29"/>
      <c r="H693" s="30"/>
      <c r="I693" s="29"/>
      <c r="J693" s="29"/>
      <c r="K693" s="29"/>
      <c r="L693" s="29"/>
      <c r="M693" s="29"/>
      <c r="N693" s="29"/>
      <c r="O693" s="29"/>
      <c r="P693" s="29"/>
      <c r="Q693" s="29"/>
      <c r="R693" s="30"/>
      <c r="S693" s="84"/>
      <c r="T693" s="84"/>
      <c r="U693" s="31"/>
      <c r="V693" s="32"/>
      <c r="W693" s="33"/>
      <c r="X693" s="17"/>
      <c r="Y693" s="17"/>
    </row>
    <row r="694" spans="1:25" ht="13" x14ac:dyDescent="0.15">
      <c r="A694" s="15"/>
      <c r="B694" s="26"/>
      <c r="C694" s="27"/>
      <c r="D694" s="26"/>
      <c r="E694" s="28"/>
      <c r="F694" s="29"/>
      <c r="G694" s="29"/>
      <c r="H694" s="30"/>
      <c r="I694" s="29"/>
      <c r="J694" s="29"/>
      <c r="K694" s="29"/>
      <c r="L694" s="29"/>
      <c r="M694" s="29"/>
      <c r="N694" s="29"/>
      <c r="O694" s="29"/>
      <c r="P694" s="29"/>
      <c r="Q694" s="29"/>
      <c r="R694" s="30"/>
      <c r="S694" s="84"/>
      <c r="T694" s="84"/>
      <c r="U694" s="31"/>
      <c r="V694" s="32"/>
      <c r="W694" s="33"/>
      <c r="X694" s="17"/>
      <c r="Y694" s="17"/>
    </row>
    <row r="695" spans="1:25" ht="13" x14ac:dyDescent="0.15">
      <c r="A695" s="15"/>
      <c r="B695" s="26"/>
      <c r="C695" s="27"/>
      <c r="D695" s="26"/>
      <c r="E695" s="28"/>
      <c r="F695" s="29"/>
      <c r="G695" s="29"/>
      <c r="H695" s="30"/>
      <c r="I695" s="29"/>
      <c r="J695" s="29"/>
      <c r="K695" s="29"/>
      <c r="L695" s="29"/>
      <c r="M695" s="29"/>
      <c r="N695" s="29"/>
      <c r="O695" s="29"/>
      <c r="P695" s="29"/>
      <c r="Q695" s="29"/>
      <c r="R695" s="30"/>
      <c r="S695" s="84"/>
      <c r="T695" s="84"/>
      <c r="U695" s="31"/>
      <c r="V695" s="32"/>
      <c r="W695" s="33"/>
      <c r="X695" s="17"/>
      <c r="Y695" s="17"/>
    </row>
    <row r="696" spans="1:25" ht="13" x14ac:dyDescent="0.15">
      <c r="A696" s="15"/>
      <c r="B696" s="26"/>
      <c r="C696" s="27"/>
      <c r="D696" s="26"/>
      <c r="E696" s="28"/>
      <c r="F696" s="29"/>
      <c r="G696" s="29"/>
      <c r="H696" s="30"/>
      <c r="I696" s="29"/>
      <c r="J696" s="29"/>
      <c r="K696" s="29"/>
      <c r="L696" s="29"/>
      <c r="M696" s="29"/>
      <c r="N696" s="29"/>
      <c r="O696" s="29"/>
      <c r="P696" s="29"/>
      <c r="Q696" s="29"/>
      <c r="R696" s="30"/>
      <c r="S696" s="84"/>
      <c r="T696" s="84"/>
      <c r="U696" s="31"/>
      <c r="V696" s="32"/>
      <c r="W696" s="33"/>
      <c r="X696" s="17"/>
      <c r="Y696" s="17"/>
    </row>
    <row r="697" spans="1:25" ht="13" x14ac:dyDescent="0.15">
      <c r="A697" s="15"/>
      <c r="B697" s="26"/>
      <c r="C697" s="27"/>
      <c r="D697" s="26"/>
      <c r="E697" s="28"/>
      <c r="F697" s="29"/>
      <c r="G697" s="29"/>
      <c r="H697" s="30"/>
      <c r="I697" s="29"/>
      <c r="J697" s="29"/>
      <c r="K697" s="29"/>
      <c r="L697" s="29"/>
      <c r="M697" s="29"/>
      <c r="N697" s="29"/>
      <c r="O697" s="29"/>
      <c r="P697" s="29"/>
      <c r="Q697" s="29"/>
      <c r="R697" s="30"/>
      <c r="S697" s="84"/>
      <c r="T697" s="84"/>
      <c r="U697" s="31"/>
      <c r="V697" s="32"/>
      <c r="W697" s="33"/>
      <c r="X697" s="17"/>
      <c r="Y697" s="17"/>
    </row>
    <row r="698" spans="1:25" ht="13" x14ac:dyDescent="0.15">
      <c r="A698" s="15"/>
      <c r="B698" s="26"/>
      <c r="C698" s="27"/>
      <c r="D698" s="26"/>
      <c r="E698" s="28"/>
      <c r="F698" s="29"/>
      <c r="G698" s="29"/>
      <c r="H698" s="30"/>
      <c r="I698" s="29"/>
      <c r="J698" s="29"/>
      <c r="K698" s="29"/>
      <c r="L698" s="29"/>
      <c r="M698" s="29"/>
      <c r="N698" s="29"/>
      <c r="O698" s="29"/>
      <c r="P698" s="29"/>
      <c r="Q698" s="29"/>
      <c r="R698" s="30"/>
      <c r="S698" s="84"/>
      <c r="T698" s="84"/>
      <c r="U698" s="31"/>
      <c r="V698" s="32"/>
      <c r="W698" s="33"/>
      <c r="X698" s="17"/>
      <c r="Y698" s="17"/>
    </row>
    <row r="699" spans="1:25" ht="13" x14ac:dyDescent="0.15">
      <c r="A699" s="15"/>
      <c r="B699" s="26"/>
      <c r="C699" s="27"/>
      <c r="D699" s="26"/>
      <c r="E699" s="28"/>
      <c r="F699" s="29"/>
      <c r="G699" s="29"/>
      <c r="H699" s="30"/>
      <c r="I699" s="29"/>
      <c r="J699" s="29"/>
      <c r="K699" s="29"/>
      <c r="L699" s="29"/>
      <c r="M699" s="29"/>
      <c r="N699" s="29"/>
      <c r="O699" s="29"/>
      <c r="P699" s="29"/>
      <c r="Q699" s="29"/>
      <c r="R699" s="30"/>
      <c r="S699" s="84"/>
      <c r="T699" s="84"/>
      <c r="U699" s="31"/>
      <c r="V699" s="32"/>
      <c r="W699" s="33"/>
      <c r="X699" s="17"/>
      <c r="Y699" s="17"/>
    </row>
    <row r="700" spans="1:25" ht="13" x14ac:dyDescent="0.15">
      <c r="A700" s="15"/>
      <c r="B700" s="26"/>
      <c r="C700" s="27"/>
      <c r="D700" s="26"/>
      <c r="E700" s="28"/>
      <c r="F700" s="29"/>
      <c r="G700" s="29"/>
      <c r="H700" s="30"/>
      <c r="I700" s="29"/>
      <c r="J700" s="29"/>
      <c r="K700" s="29"/>
      <c r="L700" s="29"/>
      <c r="M700" s="29"/>
      <c r="N700" s="29"/>
      <c r="O700" s="29"/>
      <c r="P700" s="29"/>
      <c r="Q700" s="29"/>
      <c r="R700" s="30"/>
      <c r="S700" s="84"/>
      <c r="T700" s="84"/>
      <c r="U700" s="31"/>
      <c r="V700" s="32"/>
      <c r="W700" s="33"/>
      <c r="X700" s="17"/>
      <c r="Y700" s="17"/>
    </row>
    <row r="701" spans="1:25" ht="13" x14ac:dyDescent="0.15">
      <c r="A701" s="15"/>
      <c r="B701" s="26"/>
      <c r="C701" s="27"/>
      <c r="D701" s="26"/>
      <c r="E701" s="28"/>
      <c r="F701" s="29"/>
      <c r="G701" s="29"/>
      <c r="H701" s="30"/>
      <c r="I701" s="29"/>
      <c r="J701" s="29"/>
      <c r="K701" s="29"/>
      <c r="L701" s="29"/>
      <c r="M701" s="29"/>
      <c r="N701" s="29"/>
      <c r="O701" s="29"/>
      <c r="P701" s="29"/>
      <c r="Q701" s="29"/>
      <c r="R701" s="30"/>
      <c r="S701" s="84"/>
      <c r="T701" s="84"/>
      <c r="U701" s="31"/>
      <c r="V701" s="32"/>
      <c r="W701" s="33"/>
      <c r="X701" s="17"/>
      <c r="Y701" s="17"/>
    </row>
    <row r="702" spans="1:25" ht="13" x14ac:dyDescent="0.15">
      <c r="A702" s="15"/>
      <c r="B702" s="26"/>
      <c r="C702" s="27"/>
      <c r="D702" s="26"/>
      <c r="E702" s="28"/>
      <c r="F702" s="29"/>
      <c r="G702" s="29"/>
      <c r="H702" s="30"/>
      <c r="I702" s="29"/>
      <c r="J702" s="29"/>
      <c r="K702" s="29"/>
      <c r="L702" s="29"/>
      <c r="M702" s="29"/>
      <c r="N702" s="29"/>
      <c r="O702" s="29"/>
      <c r="P702" s="29"/>
      <c r="Q702" s="29"/>
      <c r="R702" s="30"/>
      <c r="S702" s="84"/>
      <c r="T702" s="84"/>
      <c r="U702" s="31"/>
      <c r="V702" s="32"/>
      <c r="W702" s="33"/>
      <c r="X702" s="17"/>
      <c r="Y702" s="17"/>
    </row>
    <row r="703" spans="1:25" ht="13" x14ac:dyDescent="0.15">
      <c r="A703" s="15"/>
      <c r="B703" s="26"/>
      <c r="C703" s="27"/>
      <c r="D703" s="26"/>
      <c r="E703" s="28"/>
      <c r="F703" s="29"/>
      <c r="G703" s="29"/>
      <c r="H703" s="30"/>
      <c r="I703" s="29"/>
      <c r="J703" s="29"/>
      <c r="K703" s="29"/>
      <c r="L703" s="29"/>
      <c r="M703" s="29"/>
      <c r="N703" s="29"/>
      <c r="O703" s="29"/>
      <c r="P703" s="29"/>
      <c r="Q703" s="29"/>
      <c r="R703" s="30"/>
      <c r="S703" s="84"/>
      <c r="T703" s="84"/>
      <c r="U703" s="31"/>
      <c r="V703" s="32"/>
      <c r="W703" s="33"/>
      <c r="X703" s="17"/>
      <c r="Y703" s="17"/>
    </row>
    <row r="704" spans="1:25" ht="13" x14ac:dyDescent="0.15">
      <c r="A704" s="15"/>
      <c r="B704" s="26"/>
      <c r="C704" s="27"/>
      <c r="D704" s="26"/>
      <c r="E704" s="28"/>
      <c r="F704" s="29"/>
      <c r="G704" s="29"/>
      <c r="H704" s="30"/>
      <c r="I704" s="29"/>
      <c r="J704" s="29"/>
      <c r="K704" s="29"/>
      <c r="L704" s="29"/>
      <c r="M704" s="29"/>
      <c r="N704" s="29"/>
      <c r="O704" s="29"/>
      <c r="P704" s="29"/>
      <c r="Q704" s="29"/>
      <c r="R704" s="30"/>
      <c r="S704" s="84"/>
      <c r="T704" s="84"/>
      <c r="U704" s="31"/>
      <c r="V704" s="32"/>
      <c r="W704" s="33"/>
      <c r="X704" s="17"/>
      <c r="Y704" s="17"/>
    </row>
    <row r="705" spans="1:25" ht="13" x14ac:dyDescent="0.15">
      <c r="A705" s="15"/>
      <c r="B705" s="26"/>
      <c r="C705" s="27"/>
      <c r="D705" s="26"/>
      <c r="E705" s="28"/>
      <c r="F705" s="29"/>
      <c r="G705" s="29"/>
      <c r="H705" s="30"/>
      <c r="I705" s="29"/>
      <c r="J705" s="29"/>
      <c r="K705" s="29"/>
      <c r="L705" s="29"/>
      <c r="M705" s="29"/>
      <c r="N705" s="29"/>
      <c r="O705" s="29"/>
      <c r="P705" s="29"/>
      <c r="Q705" s="29"/>
      <c r="R705" s="30"/>
      <c r="S705" s="84"/>
      <c r="T705" s="84"/>
      <c r="U705" s="31"/>
      <c r="V705" s="32"/>
      <c r="W705" s="33"/>
      <c r="X705" s="17"/>
      <c r="Y705" s="17"/>
    </row>
    <row r="706" spans="1:25" ht="13" x14ac:dyDescent="0.15">
      <c r="A706" s="15"/>
      <c r="B706" s="26"/>
      <c r="C706" s="27"/>
      <c r="D706" s="26"/>
      <c r="E706" s="28"/>
      <c r="F706" s="29"/>
      <c r="G706" s="29"/>
      <c r="H706" s="30"/>
      <c r="I706" s="29"/>
      <c r="J706" s="29"/>
      <c r="K706" s="29"/>
      <c r="L706" s="29"/>
      <c r="M706" s="29"/>
      <c r="N706" s="29"/>
      <c r="O706" s="29"/>
      <c r="P706" s="29"/>
      <c r="Q706" s="29"/>
      <c r="R706" s="30"/>
      <c r="S706" s="84"/>
      <c r="T706" s="84"/>
      <c r="U706" s="31"/>
      <c r="V706" s="32"/>
      <c r="W706" s="33"/>
      <c r="X706" s="17"/>
      <c r="Y706" s="17"/>
    </row>
    <row r="707" spans="1:25" ht="13" x14ac:dyDescent="0.15">
      <c r="A707" s="15"/>
      <c r="B707" s="26"/>
      <c r="C707" s="27"/>
      <c r="D707" s="26"/>
      <c r="E707" s="28"/>
      <c r="F707" s="29"/>
      <c r="G707" s="29"/>
      <c r="H707" s="30"/>
      <c r="I707" s="29"/>
      <c r="J707" s="29"/>
      <c r="K707" s="29"/>
      <c r="L707" s="29"/>
      <c r="M707" s="29"/>
      <c r="N707" s="29"/>
      <c r="O707" s="29"/>
      <c r="P707" s="29"/>
      <c r="Q707" s="29"/>
      <c r="R707" s="30"/>
      <c r="S707" s="84"/>
      <c r="T707" s="84"/>
      <c r="U707" s="31"/>
      <c r="V707" s="32"/>
      <c r="W707" s="33"/>
      <c r="X707" s="17"/>
      <c r="Y707" s="17"/>
    </row>
    <row r="708" spans="1:25" ht="13" x14ac:dyDescent="0.15">
      <c r="A708" s="15"/>
      <c r="B708" s="26"/>
      <c r="C708" s="27"/>
      <c r="D708" s="26"/>
      <c r="E708" s="28"/>
      <c r="F708" s="29"/>
      <c r="G708" s="29"/>
      <c r="H708" s="30"/>
      <c r="I708" s="29"/>
      <c r="J708" s="29"/>
      <c r="K708" s="29"/>
      <c r="L708" s="29"/>
      <c r="M708" s="29"/>
      <c r="N708" s="29"/>
      <c r="O708" s="29"/>
      <c r="P708" s="29"/>
      <c r="Q708" s="29"/>
      <c r="R708" s="30"/>
      <c r="S708" s="84"/>
      <c r="T708" s="84"/>
      <c r="U708" s="31"/>
      <c r="V708" s="32"/>
      <c r="W708" s="33"/>
      <c r="X708" s="17"/>
      <c r="Y708" s="17"/>
    </row>
    <row r="709" spans="1:25" ht="13" x14ac:dyDescent="0.15">
      <c r="A709" s="15"/>
      <c r="B709" s="26"/>
      <c r="C709" s="27"/>
      <c r="D709" s="26"/>
      <c r="E709" s="28"/>
      <c r="F709" s="29"/>
      <c r="G709" s="29"/>
      <c r="H709" s="30"/>
      <c r="I709" s="29"/>
      <c r="J709" s="29"/>
      <c r="K709" s="29"/>
      <c r="L709" s="29"/>
      <c r="M709" s="29"/>
      <c r="N709" s="29"/>
      <c r="O709" s="29"/>
      <c r="P709" s="29"/>
      <c r="Q709" s="29"/>
      <c r="R709" s="30"/>
      <c r="S709" s="84"/>
      <c r="T709" s="84"/>
      <c r="U709" s="31"/>
      <c r="V709" s="32"/>
      <c r="W709" s="33"/>
      <c r="X709" s="17"/>
      <c r="Y709" s="17"/>
    </row>
    <row r="710" spans="1:25" ht="13" x14ac:dyDescent="0.15">
      <c r="A710" s="15"/>
      <c r="B710" s="26"/>
      <c r="C710" s="27"/>
      <c r="D710" s="26"/>
      <c r="E710" s="28"/>
      <c r="F710" s="29"/>
      <c r="G710" s="29"/>
      <c r="H710" s="30"/>
      <c r="I710" s="29"/>
      <c r="J710" s="29"/>
      <c r="K710" s="29"/>
      <c r="L710" s="29"/>
      <c r="M710" s="29"/>
      <c r="N710" s="29"/>
      <c r="O710" s="29"/>
      <c r="P710" s="29"/>
      <c r="Q710" s="29"/>
      <c r="R710" s="30"/>
      <c r="S710" s="84"/>
      <c r="T710" s="84"/>
      <c r="U710" s="31"/>
      <c r="V710" s="32"/>
      <c r="W710" s="33"/>
      <c r="X710" s="17"/>
      <c r="Y710" s="17"/>
    </row>
    <row r="711" spans="1:25" ht="13" x14ac:dyDescent="0.15">
      <c r="A711" s="15"/>
      <c r="B711" s="26"/>
      <c r="C711" s="27"/>
      <c r="D711" s="26"/>
      <c r="E711" s="28"/>
      <c r="F711" s="29"/>
      <c r="G711" s="29"/>
      <c r="H711" s="30"/>
      <c r="I711" s="29"/>
      <c r="J711" s="29"/>
      <c r="K711" s="29"/>
      <c r="L711" s="29"/>
      <c r="M711" s="29"/>
      <c r="N711" s="29"/>
      <c r="O711" s="29"/>
      <c r="P711" s="29"/>
      <c r="Q711" s="29"/>
      <c r="R711" s="30"/>
      <c r="S711" s="84"/>
      <c r="T711" s="84"/>
      <c r="U711" s="31"/>
      <c r="V711" s="32"/>
      <c r="W711" s="33"/>
      <c r="X711" s="17"/>
      <c r="Y711" s="17"/>
    </row>
    <row r="712" spans="1:25" ht="13" x14ac:dyDescent="0.15">
      <c r="A712" s="15"/>
      <c r="B712" s="26"/>
      <c r="C712" s="27"/>
      <c r="D712" s="26"/>
      <c r="E712" s="28"/>
      <c r="F712" s="29"/>
      <c r="G712" s="29"/>
      <c r="H712" s="30"/>
      <c r="I712" s="29"/>
      <c r="J712" s="29"/>
      <c r="K712" s="29"/>
      <c r="L712" s="29"/>
      <c r="M712" s="29"/>
      <c r="N712" s="29"/>
      <c r="O712" s="29"/>
      <c r="P712" s="29"/>
      <c r="Q712" s="29"/>
      <c r="R712" s="30"/>
      <c r="S712" s="84"/>
      <c r="T712" s="84"/>
      <c r="U712" s="31"/>
      <c r="V712" s="32"/>
      <c r="W712" s="33"/>
      <c r="X712" s="17"/>
      <c r="Y712" s="17"/>
    </row>
    <row r="713" spans="1:25" ht="13" x14ac:dyDescent="0.15">
      <c r="A713" s="15"/>
      <c r="B713" s="26"/>
      <c r="C713" s="27"/>
      <c r="D713" s="26"/>
      <c r="E713" s="28"/>
      <c r="F713" s="29"/>
      <c r="G713" s="29"/>
      <c r="H713" s="30"/>
      <c r="I713" s="29"/>
      <c r="J713" s="29"/>
      <c r="K713" s="29"/>
      <c r="L713" s="29"/>
      <c r="M713" s="29"/>
      <c r="N713" s="29"/>
      <c r="O713" s="29"/>
      <c r="P713" s="29"/>
      <c r="Q713" s="29"/>
      <c r="R713" s="30"/>
      <c r="S713" s="84"/>
      <c r="T713" s="84"/>
      <c r="U713" s="31"/>
      <c r="V713" s="32"/>
      <c r="W713" s="33"/>
      <c r="X713" s="17"/>
      <c r="Y713" s="17"/>
    </row>
    <row r="714" spans="1:25" ht="13" x14ac:dyDescent="0.15">
      <c r="A714" s="15"/>
      <c r="B714" s="26"/>
      <c r="C714" s="27"/>
      <c r="D714" s="26"/>
      <c r="E714" s="28"/>
      <c r="F714" s="29"/>
      <c r="G714" s="29"/>
      <c r="H714" s="30"/>
      <c r="I714" s="29"/>
      <c r="J714" s="29"/>
      <c r="K714" s="29"/>
      <c r="L714" s="29"/>
      <c r="M714" s="29"/>
      <c r="N714" s="29"/>
      <c r="O714" s="29"/>
      <c r="P714" s="29"/>
      <c r="Q714" s="29"/>
      <c r="R714" s="30"/>
      <c r="S714" s="84"/>
      <c r="T714" s="84"/>
      <c r="U714" s="31"/>
      <c r="V714" s="32"/>
      <c r="W714" s="33"/>
      <c r="X714" s="17"/>
      <c r="Y714" s="17"/>
    </row>
    <row r="715" spans="1:25" ht="13" x14ac:dyDescent="0.15">
      <c r="A715" s="15"/>
      <c r="B715" s="26"/>
      <c r="C715" s="27"/>
      <c r="D715" s="26"/>
      <c r="E715" s="28"/>
      <c r="F715" s="29"/>
      <c r="G715" s="29"/>
      <c r="H715" s="30"/>
      <c r="I715" s="29"/>
      <c r="J715" s="29"/>
      <c r="K715" s="29"/>
      <c r="L715" s="29"/>
      <c r="M715" s="29"/>
      <c r="N715" s="29"/>
      <c r="O715" s="29"/>
      <c r="P715" s="29"/>
      <c r="Q715" s="29"/>
      <c r="R715" s="30"/>
      <c r="S715" s="84"/>
      <c r="T715" s="84"/>
      <c r="U715" s="31"/>
      <c r="V715" s="32"/>
      <c r="W715" s="33"/>
      <c r="X715" s="17"/>
      <c r="Y715" s="17"/>
    </row>
    <row r="716" spans="1:25" ht="13" x14ac:dyDescent="0.15">
      <c r="A716" s="15"/>
      <c r="B716" s="26"/>
      <c r="C716" s="27"/>
      <c r="D716" s="26"/>
      <c r="E716" s="28"/>
      <c r="F716" s="29"/>
      <c r="G716" s="29"/>
      <c r="H716" s="30"/>
      <c r="I716" s="29"/>
      <c r="J716" s="29"/>
      <c r="K716" s="29"/>
      <c r="L716" s="29"/>
      <c r="M716" s="29"/>
      <c r="N716" s="29"/>
      <c r="O716" s="29"/>
      <c r="P716" s="29"/>
      <c r="Q716" s="29"/>
      <c r="R716" s="30"/>
      <c r="S716" s="84"/>
      <c r="T716" s="84"/>
      <c r="U716" s="31"/>
      <c r="V716" s="32"/>
      <c r="W716" s="33"/>
      <c r="X716" s="17"/>
      <c r="Y716" s="17"/>
    </row>
    <row r="717" spans="1:25" ht="13" x14ac:dyDescent="0.15">
      <c r="A717" s="15"/>
      <c r="B717" s="26"/>
      <c r="C717" s="27"/>
      <c r="D717" s="26"/>
      <c r="E717" s="28"/>
      <c r="F717" s="29"/>
      <c r="G717" s="29"/>
      <c r="H717" s="30"/>
      <c r="I717" s="29"/>
      <c r="J717" s="29"/>
      <c r="K717" s="29"/>
      <c r="L717" s="29"/>
      <c r="M717" s="29"/>
      <c r="N717" s="29"/>
      <c r="O717" s="29"/>
      <c r="P717" s="29"/>
      <c r="Q717" s="29"/>
      <c r="R717" s="30"/>
      <c r="S717" s="84"/>
      <c r="T717" s="84"/>
      <c r="U717" s="31"/>
      <c r="V717" s="32"/>
      <c r="W717" s="33"/>
      <c r="X717" s="17"/>
      <c r="Y717" s="17"/>
    </row>
    <row r="718" spans="1:25" ht="13" x14ac:dyDescent="0.15">
      <c r="A718" s="15"/>
      <c r="B718" s="26"/>
      <c r="C718" s="27"/>
      <c r="D718" s="26"/>
      <c r="E718" s="28"/>
      <c r="F718" s="29"/>
      <c r="G718" s="29"/>
      <c r="H718" s="30"/>
      <c r="I718" s="29"/>
      <c r="J718" s="29"/>
      <c r="K718" s="29"/>
      <c r="L718" s="29"/>
      <c r="M718" s="29"/>
      <c r="N718" s="29"/>
      <c r="O718" s="29"/>
      <c r="P718" s="29"/>
      <c r="Q718" s="29"/>
      <c r="R718" s="30"/>
      <c r="S718" s="84"/>
      <c r="T718" s="84"/>
      <c r="U718" s="31"/>
      <c r="V718" s="32"/>
      <c r="W718" s="33"/>
      <c r="X718" s="17"/>
      <c r="Y718" s="17"/>
    </row>
    <row r="719" spans="1:25" ht="13" x14ac:dyDescent="0.15">
      <c r="A719" s="15"/>
      <c r="B719" s="26"/>
      <c r="C719" s="27"/>
      <c r="D719" s="26"/>
      <c r="E719" s="28"/>
      <c r="F719" s="29"/>
      <c r="G719" s="29"/>
      <c r="H719" s="30"/>
      <c r="I719" s="29"/>
      <c r="J719" s="29"/>
      <c r="K719" s="29"/>
      <c r="L719" s="29"/>
      <c r="M719" s="29"/>
      <c r="N719" s="29"/>
      <c r="O719" s="29"/>
      <c r="P719" s="29"/>
      <c r="Q719" s="29"/>
      <c r="R719" s="30"/>
      <c r="S719" s="84"/>
      <c r="T719" s="84"/>
      <c r="U719" s="31"/>
      <c r="V719" s="32"/>
      <c r="W719" s="33"/>
      <c r="X719" s="17"/>
      <c r="Y719" s="17"/>
    </row>
    <row r="720" spans="1:25" ht="13" x14ac:dyDescent="0.15">
      <c r="A720" s="15"/>
      <c r="B720" s="26"/>
      <c r="C720" s="27"/>
      <c r="D720" s="26"/>
      <c r="E720" s="28"/>
      <c r="F720" s="29"/>
      <c r="G720" s="29"/>
      <c r="H720" s="30"/>
      <c r="I720" s="29"/>
      <c r="J720" s="29"/>
      <c r="K720" s="29"/>
      <c r="L720" s="29"/>
      <c r="M720" s="29"/>
      <c r="N720" s="29"/>
      <c r="O720" s="29"/>
      <c r="P720" s="29"/>
      <c r="Q720" s="29"/>
      <c r="R720" s="30"/>
      <c r="S720" s="84"/>
      <c r="T720" s="84"/>
      <c r="U720" s="31"/>
      <c r="V720" s="32"/>
      <c r="W720" s="33"/>
      <c r="X720" s="17"/>
      <c r="Y720" s="17"/>
    </row>
    <row r="721" spans="1:25" ht="13" x14ac:dyDescent="0.15">
      <c r="A721" s="15"/>
      <c r="B721" s="26"/>
      <c r="C721" s="27"/>
      <c r="D721" s="26"/>
      <c r="E721" s="28"/>
      <c r="F721" s="29"/>
      <c r="G721" s="29"/>
      <c r="H721" s="30"/>
      <c r="I721" s="29"/>
      <c r="J721" s="29"/>
      <c r="K721" s="29"/>
      <c r="L721" s="29"/>
      <c r="M721" s="29"/>
      <c r="N721" s="29"/>
      <c r="O721" s="29"/>
      <c r="P721" s="29"/>
      <c r="Q721" s="29"/>
      <c r="R721" s="30"/>
      <c r="S721" s="84"/>
      <c r="T721" s="84"/>
      <c r="U721" s="31"/>
      <c r="V721" s="32"/>
      <c r="W721" s="33"/>
      <c r="X721" s="17"/>
      <c r="Y721" s="17"/>
    </row>
    <row r="722" spans="1:25" ht="13" x14ac:dyDescent="0.15">
      <c r="A722" s="15"/>
      <c r="B722" s="26"/>
      <c r="C722" s="27"/>
      <c r="D722" s="26"/>
      <c r="E722" s="28"/>
      <c r="F722" s="29"/>
      <c r="G722" s="29"/>
      <c r="H722" s="30"/>
      <c r="I722" s="29"/>
      <c r="J722" s="29"/>
      <c r="K722" s="29"/>
      <c r="L722" s="29"/>
      <c r="M722" s="29"/>
      <c r="N722" s="29"/>
      <c r="O722" s="29"/>
      <c r="P722" s="29"/>
      <c r="Q722" s="29"/>
      <c r="R722" s="30"/>
      <c r="S722" s="84"/>
      <c r="T722" s="84"/>
      <c r="U722" s="31"/>
      <c r="V722" s="32"/>
      <c r="W722" s="33"/>
      <c r="X722" s="17"/>
      <c r="Y722" s="17"/>
    </row>
    <row r="723" spans="1:25" ht="13" x14ac:dyDescent="0.15">
      <c r="A723" s="15"/>
      <c r="B723" s="26"/>
      <c r="C723" s="27"/>
      <c r="D723" s="26"/>
      <c r="E723" s="28"/>
      <c r="F723" s="29"/>
      <c r="G723" s="29"/>
      <c r="H723" s="30"/>
      <c r="I723" s="29"/>
      <c r="J723" s="29"/>
      <c r="K723" s="29"/>
      <c r="L723" s="29"/>
      <c r="M723" s="29"/>
      <c r="N723" s="29"/>
      <c r="O723" s="29"/>
      <c r="P723" s="29"/>
      <c r="Q723" s="29"/>
      <c r="R723" s="30"/>
      <c r="S723" s="84"/>
      <c r="T723" s="84"/>
      <c r="U723" s="31"/>
      <c r="V723" s="32"/>
      <c r="W723" s="33"/>
      <c r="X723" s="17"/>
      <c r="Y723" s="17"/>
    </row>
    <row r="724" spans="1:25" ht="13" x14ac:dyDescent="0.15">
      <c r="A724" s="15"/>
      <c r="B724" s="26"/>
      <c r="C724" s="27"/>
      <c r="D724" s="26"/>
      <c r="E724" s="28"/>
      <c r="F724" s="29"/>
      <c r="G724" s="29"/>
      <c r="H724" s="30"/>
      <c r="I724" s="29"/>
      <c r="J724" s="29"/>
      <c r="K724" s="29"/>
      <c r="L724" s="29"/>
      <c r="M724" s="29"/>
      <c r="N724" s="29"/>
      <c r="O724" s="29"/>
      <c r="P724" s="29"/>
      <c r="Q724" s="29"/>
      <c r="R724" s="30"/>
      <c r="S724" s="84"/>
      <c r="T724" s="84"/>
      <c r="U724" s="31"/>
      <c r="V724" s="32"/>
      <c r="W724" s="33"/>
      <c r="X724" s="17"/>
      <c r="Y724" s="17"/>
    </row>
    <row r="725" spans="1:25" ht="13" x14ac:dyDescent="0.15">
      <c r="A725" s="15"/>
      <c r="B725" s="26"/>
      <c r="C725" s="27"/>
      <c r="D725" s="26"/>
      <c r="E725" s="28"/>
      <c r="F725" s="29"/>
      <c r="G725" s="29"/>
      <c r="H725" s="30"/>
      <c r="I725" s="29"/>
      <c r="J725" s="29"/>
      <c r="K725" s="29"/>
      <c r="L725" s="29"/>
      <c r="M725" s="29"/>
      <c r="N725" s="29"/>
      <c r="O725" s="29"/>
      <c r="P725" s="29"/>
      <c r="Q725" s="29"/>
      <c r="R725" s="30"/>
      <c r="S725" s="84"/>
      <c r="T725" s="84"/>
      <c r="U725" s="31"/>
      <c r="V725" s="32"/>
      <c r="W725" s="33"/>
      <c r="X725" s="17"/>
      <c r="Y725" s="17"/>
    </row>
    <row r="726" spans="1:25" ht="13" x14ac:dyDescent="0.15">
      <c r="A726" s="15"/>
      <c r="B726" s="26"/>
      <c r="C726" s="27"/>
      <c r="D726" s="26"/>
      <c r="E726" s="28"/>
      <c r="F726" s="29"/>
      <c r="G726" s="29"/>
      <c r="H726" s="30"/>
      <c r="I726" s="29"/>
      <c r="J726" s="29"/>
      <c r="K726" s="29"/>
      <c r="L726" s="29"/>
      <c r="M726" s="29"/>
      <c r="N726" s="29"/>
      <c r="O726" s="29"/>
      <c r="P726" s="29"/>
      <c r="Q726" s="29"/>
      <c r="R726" s="30"/>
      <c r="S726" s="84"/>
      <c r="T726" s="84"/>
      <c r="U726" s="31"/>
      <c r="V726" s="32"/>
      <c r="W726" s="33"/>
      <c r="X726" s="17"/>
      <c r="Y726" s="17"/>
    </row>
    <row r="727" spans="1:25" ht="13" x14ac:dyDescent="0.15">
      <c r="A727" s="15"/>
      <c r="B727" s="26"/>
      <c r="C727" s="27"/>
      <c r="D727" s="26"/>
      <c r="E727" s="28"/>
      <c r="F727" s="29"/>
      <c r="G727" s="29"/>
      <c r="H727" s="30"/>
      <c r="I727" s="29"/>
      <c r="J727" s="29"/>
      <c r="K727" s="29"/>
      <c r="L727" s="29"/>
      <c r="M727" s="29"/>
      <c r="N727" s="29"/>
      <c r="O727" s="29"/>
      <c r="P727" s="29"/>
      <c r="Q727" s="29"/>
      <c r="R727" s="30"/>
      <c r="S727" s="84"/>
      <c r="T727" s="84"/>
      <c r="U727" s="31"/>
      <c r="V727" s="32"/>
      <c r="W727" s="33"/>
      <c r="X727" s="17"/>
      <c r="Y727" s="17"/>
    </row>
    <row r="728" spans="1:25" ht="13" x14ac:dyDescent="0.15">
      <c r="A728" s="15"/>
      <c r="B728" s="26"/>
      <c r="C728" s="27"/>
      <c r="D728" s="26"/>
      <c r="E728" s="28"/>
      <c r="F728" s="29"/>
      <c r="G728" s="29"/>
      <c r="H728" s="30"/>
      <c r="I728" s="29"/>
      <c r="J728" s="29"/>
      <c r="K728" s="29"/>
      <c r="L728" s="29"/>
      <c r="M728" s="29"/>
      <c r="N728" s="29"/>
      <c r="O728" s="29"/>
      <c r="P728" s="29"/>
      <c r="Q728" s="29"/>
      <c r="R728" s="30"/>
      <c r="S728" s="84"/>
      <c r="T728" s="84"/>
      <c r="U728" s="31"/>
      <c r="V728" s="32"/>
      <c r="W728" s="33"/>
      <c r="X728" s="17"/>
      <c r="Y728" s="17"/>
    </row>
    <row r="729" spans="1:25" ht="13" x14ac:dyDescent="0.15">
      <c r="A729" s="15"/>
      <c r="B729" s="26"/>
      <c r="C729" s="27"/>
      <c r="D729" s="26"/>
      <c r="E729" s="28"/>
      <c r="F729" s="29"/>
      <c r="G729" s="29"/>
      <c r="H729" s="30"/>
      <c r="I729" s="29"/>
      <c r="J729" s="29"/>
      <c r="K729" s="29"/>
      <c r="L729" s="29"/>
      <c r="M729" s="29"/>
      <c r="N729" s="29"/>
      <c r="O729" s="29"/>
      <c r="P729" s="29"/>
      <c r="Q729" s="29"/>
      <c r="R729" s="30"/>
      <c r="S729" s="84"/>
      <c r="T729" s="84"/>
      <c r="U729" s="31"/>
      <c r="V729" s="32"/>
      <c r="W729" s="33"/>
      <c r="X729" s="17"/>
      <c r="Y729" s="17"/>
    </row>
    <row r="730" spans="1:25" ht="13" x14ac:dyDescent="0.15">
      <c r="A730" s="15"/>
      <c r="B730" s="26"/>
      <c r="C730" s="27"/>
      <c r="D730" s="26"/>
      <c r="E730" s="28"/>
      <c r="F730" s="29"/>
      <c r="G730" s="29"/>
      <c r="H730" s="30"/>
      <c r="I730" s="29"/>
      <c r="J730" s="29"/>
      <c r="K730" s="29"/>
      <c r="L730" s="29"/>
      <c r="M730" s="29"/>
      <c r="N730" s="29"/>
      <c r="O730" s="29"/>
      <c r="P730" s="29"/>
      <c r="Q730" s="29"/>
      <c r="R730" s="30"/>
      <c r="S730" s="84"/>
      <c r="T730" s="84"/>
      <c r="U730" s="31"/>
      <c r="V730" s="32"/>
      <c r="W730" s="33"/>
      <c r="X730" s="17"/>
      <c r="Y730" s="17"/>
    </row>
    <row r="731" spans="1:25" ht="13" x14ac:dyDescent="0.15">
      <c r="A731" s="15"/>
      <c r="B731" s="26"/>
      <c r="C731" s="27"/>
      <c r="D731" s="26"/>
      <c r="E731" s="28"/>
      <c r="F731" s="29"/>
      <c r="G731" s="29"/>
      <c r="H731" s="30"/>
      <c r="I731" s="29"/>
      <c r="J731" s="29"/>
      <c r="K731" s="29"/>
      <c r="L731" s="29"/>
      <c r="M731" s="29"/>
      <c r="N731" s="29"/>
      <c r="O731" s="29"/>
      <c r="P731" s="29"/>
      <c r="Q731" s="29"/>
      <c r="R731" s="30"/>
      <c r="S731" s="84"/>
      <c r="T731" s="84"/>
      <c r="U731" s="31"/>
      <c r="V731" s="32"/>
      <c r="W731" s="33"/>
      <c r="X731" s="17"/>
      <c r="Y731" s="17"/>
    </row>
    <row r="732" spans="1:25" ht="13" x14ac:dyDescent="0.15">
      <c r="A732" s="15"/>
      <c r="B732" s="26"/>
      <c r="C732" s="27"/>
      <c r="D732" s="26"/>
      <c r="E732" s="28"/>
      <c r="F732" s="29"/>
      <c r="G732" s="29"/>
      <c r="H732" s="30"/>
      <c r="I732" s="29"/>
      <c r="J732" s="29"/>
      <c r="K732" s="29"/>
      <c r="L732" s="29"/>
      <c r="M732" s="29"/>
      <c r="N732" s="29"/>
      <c r="O732" s="29"/>
      <c r="P732" s="29"/>
      <c r="Q732" s="29"/>
      <c r="R732" s="30"/>
      <c r="S732" s="84"/>
      <c r="T732" s="84"/>
      <c r="U732" s="31"/>
      <c r="V732" s="32"/>
      <c r="W732" s="33"/>
      <c r="X732" s="17"/>
      <c r="Y732" s="17"/>
    </row>
    <row r="733" spans="1:25" ht="13" x14ac:dyDescent="0.15">
      <c r="A733" s="15"/>
      <c r="B733" s="26"/>
      <c r="C733" s="27"/>
      <c r="D733" s="26"/>
      <c r="E733" s="28"/>
      <c r="F733" s="29"/>
      <c r="G733" s="29"/>
      <c r="H733" s="30"/>
      <c r="I733" s="29"/>
      <c r="J733" s="29"/>
      <c r="K733" s="29"/>
      <c r="L733" s="29"/>
      <c r="M733" s="29"/>
      <c r="N733" s="29"/>
      <c r="O733" s="29"/>
      <c r="P733" s="29"/>
      <c r="Q733" s="29"/>
      <c r="R733" s="30"/>
      <c r="S733" s="84"/>
      <c r="T733" s="84"/>
      <c r="U733" s="31"/>
      <c r="V733" s="32"/>
      <c r="W733" s="33"/>
      <c r="X733" s="17"/>
      <c r="Y733" s="17"/>
    </row>
    <row r="734" spans="1:25" ht="13" x14ac:dyDescent="0.15">
      <c r="A734" s="15"/>
      <c r="B734" s="26"/>
      <c r="C734" s="27"/>
      <c r="D734" s="26"/>
      <c r="E734" s="28"/>
      <c r="F734" s="29"/>
      <c r="G734" s="29"/>
      <c r="H734" s="30"/>
      <c r="I734" s="29"/>
      <c r="J734" s="29"/>
      <c r="K734" s="29"/>
      <c r="L734" s="29"/>
      <c r="M734" s="29"/>
      <c r="N734" s="29"/>
      <c r="O734" s="29"/>
      <c r="P734" s="29"/>
      <c r="Q734" s="29"/>
      <c r="R734" s="30"/>
      <c r="S734" s="84"/>
      <c r="T734" s="84"/>
      <c r="U734" s="31"/>
      <c r="V734" s="32"/>
      <c r="W734" s="33"/>
      <c r="X734" s="17"/>
      <c r="Y734" s="17"/>
    </row>
    <row r="735" spans="1:25" ht="13" x14ac:dyDescent="0.15">
      <c r="A735" s="15"/>
      <c r="B735" s="26"/>
      <c r="C735" s="27"/>
      <c r="D735" s="26"/>
      <c r="E735" s="28"/>
      <c r="F735" s="29"/>
      <c r="G735" s="29"/>
      <c r="H735" s="30"/>
      <c r="I735" s="29"/>
      <c r="J735" s="29"/>
      <c r="K735" s="29"/>
      <c r="L735" s="29"/>
      <c r="M735" s="29"/>
      <c r="N735" s="29"/>
      <c r="O735" s="29"/>
      <c r="P735" s="29"/>
      <c r="Q735" s="29"/>
      <c r="R735" s="30"/>
      <c r="S735" s="84"/>
      <c r="T735" s="84"/>
      <c r="U735" s="31"/>
      <c r="V735" s="32"/>
      <c r="W735" s="33"/>
      <c r="X735" s="17"/>
      <c r="Y735" s="17"/>
    </row>
    <row r="736" spans="1:25" ht="13" x14ac:dyDescent="0.15">
      <c r="A736" s="15"/>
      <c r="B736" s="26"/>
      <c r="C736" s="27"/>
      <c r="D736" s="26"/>
      <c r="E736" s="28"/>
      <c r="F736" s="29"/>
      <c r="G736" s="29"/>
      <c r="H736" s="30"/>
      <c r="I736" s="29"/>
      <c r="J736" s="29"/>
      <c r="K736" s="29"/>
      <c r="L736" s="29"/>
      <c r="M736" s="29"/>
      <c r="N736" s="29"/>
      <c r="O736" s="29"/>
      <c r="P736" s="29"/>
      <c r="Q736" s="29"/>
      <c r="R736" s="30"/>
      <c r="S736" s="84"/>
      <c r="T736" s="84"/>
      <c r="U736" s="31"/>
      <c r="V736" s="32"/>
      <c r="W736" s="33"/>
      <c r="X736" s="17"/>
      <c r="Y736" s="17"/>
    </row>
    <row r="737" spans="1:25" ht="13" x14ac:dyDescent="0.15">
      <c r="A737" s="15"/>
      <c r="B737" s="26"/>
      <c r="C737" s="27"/>
      <c r="D737" s="26"/>
      <c r="E737" s="28"/>
      <c r="F737" s="29"/>
      <c r="G737" s="29"/>
      <c r="H737" s="30"/>
      <c r="I737" s="29"/>
      <c r="J737" s="29"/>
      <c r="K737" s="29"/>
      <c r="L737" s="29"/>
      <c r="M737" s="29"/>
      <c r="N737" s="29"/>
      <c r="O737" s="29"/>
      <c r="P737" s="29"/>
      <c r="Q737" s="29"/>
      <c r="R737" s="30"/>
      <c r="S737" s="84"/>
      <c r="T737" s="84"/>
      <c r="U737" s="31"/>
      <c r="V737" s="32"/>
      <c r="W737" s="33"/>
      <c r="X737" s="17"/>
      <c r="Y737" s="17"/>
    </row>
    <row r="738" spans="1:25" ht="13" x14ac:dyDescent="0.15">
      <c r="A738" s="15"/>
      <c r="B738" s="26"/>
      <c r="C738" s="27"/>
      <c r="D738" s="26"/>
      <c r="E738" s="28"/>
      <c r="F738" s="29"/>
      <c r="G738" s="29"/>
      <c r="H738" s="30"/>
      <c r="I738" s="29"/>
      <c r="J738" s="29"/>
      <c r="K738" s="29"/>
      <c r="L738" s="29"/>
      <c r="M738" s="29"/>
      <c r="N738" s="29"/>
      <c r="O738" s="29"/>
      <c r="P738" s="29"/>
      <c r="Q738" s="29"/>
      <c r="R738" s="30"/>
      <c r="S738" s="84"/>
      <c r="T738" s="84"/>
      <c r="U738" s="31"/>
      <c r="V738" s="32"/>
      <c r="W738" s="33"/>
      <c r="X738" s="17"/>
      <c r="Y738" s="17"/>
    </row>
    <row r="739" spans="1:25" ht="13" x14ac:dyDescent="0.15">
      <c r="A739" s="15"/>
      <c r="B739" s="26"/>
      <c r="C739" s="27"/>
      <c r="D739" s="26"/>
      <c r="E739" s="28"/>
      <c r="F739" s="29"/>
      <c r="G739" s="29"/>
      <c r="H739" s="30"/>
      <c r="I739" s="29"/>
      <c r="J739" s="29"/>
      <c r="K739" s="29"/>
      <c r="L739" s="29"/>
      <c r="M739" s="29"/>
      <c r="N739" s="29"/>
      <c r="O739" s="29"/>
      <c r="P739" s="29"/>
      <c r="Q739" s="29"/>
      <c r="R739" s="30"/>
      <c r="S739" s="84"/>
      <c r="T739" s="84"/>
      <c r="U739" s="31"/>
      <c r="V739" s="32"/>
      <c r="W739" s="33"/>
      <c r="X739" s="17"/>
      <c r="Y739" s="17"/>
    </row>
    <row r="740" spans="1:25" ht="13" x14ac:dyDescent="0.15">
      <c r="A740" s="15"/>
      <c r="B740" s="26"/>
      <c r="C740" s="27"/>
      <c r="D740" s="26"/>
      <c r="E740" s="28"/>
      <c r="F740" s="29"/>
      <c r="G740" s="29"/>
      <c r="H740" s="30"/>
      <c r="I740" s="29"/>
      <c r="J740" s="29"/>
      <c r="K740" s="29"/>
      <c r="L740" s="29"/>
      <c r="M740" s="29"/>
      <c r="N740" s="29"/>
      <c r="O740" s="29"/>
      <c r="P740" s="29"/>
      <c r="Q740" s="29"/>
      <c r="R740" s="30"/>
      <c r="S740" s="84"/>
      <c r="T740" s="84"/>
      <c r="U740" s="31"/>
      <c r="V740" s="32"/>
      <c r="W740" s="33"/>
      <c r="X740" s="17"/>
      <c r="Y740" s="17"/>
    </row>
    <row r="741" spans="1:25" ht="13" x14ac:dyDescent="0.15">
      <c r="A741" s="15"/>
      <c r="B741" s="26"/>
      <c r="C741" s="27"/>
      <c r="D741" s="26"/>
      <c r="E741" s="28"/>
      <c r="F741" s="29"/>
      <c r="G741" s="29"/>
      <c r="H741" s="30"/>
      <c r="I741" s="29"/>
      <c r="J741" s="29"/>
      <c r="K741" s="29"/>
      <c r="L741" s="29"/>
      <c r="M741" s="29"/>
      <c r="N741" s="29"/>
      <c r="O741" s="29"/>
      <c r="P741" s="29"/>
      <c r="Q741" s="29"/>
      <c r="R741" s="30"/>
      <c r="S741" s="84"/>
      <c r="T741" s="84"/>
      <c r="U741" s="31"/>
      <c r="V741" s="32"/>
      <c r="W741" s="33"/>
      <c r="X741" s="17"/>
      <c r="Y741" s="17"/>
    </row>
    <row r="742" spans="1:25" ht="13" x14ac:dyDescent="0.15">
      <c r="A742" s="15"/>
      <c r="B742" s="26"/>
      <c r="C742" s="27"/>
      <c r="D742" s="26"/>
      <c r="E742" s="28"/>
      <c r="F742" s="29"/>
      <c r="G742" s="29"/>
      <c r="H742" s="30"/>
      <c r="I742" s="29"/>
      <c r="J742" s="29"/>
      <c r="K742" s="29"/>
      <c r="L742" s="29"/>
      <c r="M742" s="29"/>
      <c r="N742" s="29"/>
      <c r="O742" s="29"/>
      <c r="P742" s="29"/>
      <c r="Q742" s="29"/>
      <c r="R742" s="30"/>
      <c r="S742" s="84"/>
      <c r="T742" s="84"/>
      <c r="U742" s="31"/>
      <c r="V742" s="32"/>
      <c r="W742" s="33"/>
      <c r="X742" s="17"/>
      <c r="Y742" s="17"/>
    </row>
    <row r="743" spans="1:25" ht="13" x14ac:dyDescent="0.15">
      <c r="A743" s="15"/>
      <c r="B743" s="26"/>
      <c r="C743" s="27"/>
      <c r="D743" s="26"/>
      <c r="E743" s="28"/>
      <c r="F743" s="29"/>
      <c r="G743" s="29"/>
      <c r="H743" s="30"/>
      <c r="I743" s="29"/>
      <c r="J743" s="29"/>
      <c r="K743" s="29"/>
      <c r="L743" s="29"/>
      <c r="M743" s="29"/>
      <c r="N743" s="29"/>
      <c r="O743" s="29"/>
      <c r="P743" s="29"/>
      <c r="Q743" s="29"/>
      <c r="R743" s="30"/>
      <c r="S743" s="84"/>
      <c r="T743" s="84"/>
      <c r="U743" s="31"/>
      <c r="V743" s="32"/>
      <c r="W743" s="33"/>
      <c r="X743" s="17"/>
      <c r="Y743" s="17"/>
    </row>
    <row r="744" spans="1:25" ht="13" x14ac:dyDescent="0.15">
      <c r="A744" s="15"/>
      <c r="B744" s="26"/>
      <c r="C744" s="27"/>
      <c r="D744" s="26"/>
      <c r="E744" s="28"/>
      <c r="F744" s="29"/>
      <c r="G744" s="29"/>
      <c r="H744" s="30"/>
      <c r="I744" s="29"/>
      <c r="J744" s="29"/>
      <c r="K744" s="29"/>
      <c r="L744" s="29"/>
      <c r="M744" s="29"/>
      <c r="N744" s="29"/>
      <c r="O744" s="29"/>
      <c r="P744" s="29"/>
      <c r="Q744" s="29"/>
      <c r="R744" s="30"/>
      <c r="S744" s="84"/>
      <c r="T744" s="84"/>
      <c r="U744" s="31"/>
      <c r="V744" s="32"/>
      <c r="W744" s="33"/>
      <c r="X744" s="17"/>
      <c r="Y744" s="17"/>
    </row>
    <row r="745" spans="1:25" ht="13" x14ac:dyDescent="0.15">
      <c r="A745" s="15"/>
      <c r="B745" s="26"/>
      <c r="C745" s="27"/>
      <c r="D745" s="26"/>
      <c r="E745" s="28"/>
      <c r="F745" s="29"/>
      <c r="G745" s="29"/>
      <c r="H745" s="30"/>
      <c r="I745" s="29"/>
      <c r="J745" s="29"/>
      <c r="K745" s="29"/>
      <c r="L745" s="29"/>
      <c r="M745" s="29"/>
      <c r="N745" s="29"/>
      <c r="O745" s="29"/>
      <c r="P745" s="29"/>
      <c r="Q745" s="29"/>
      <c r="R745" s="30"/>
      <c r="S745" s="84"/>
      <c r="T745" s="84"/>
      <c r="U745" s="31"/>
      <c r="V745" s="32"/>
      <c r="W745" s="33"/>
      <c r="X745" s="17"/>
      <c r="Y745" s="17"/>
    </row>
    <row r="746" spans="1:25" ht="13" x14ac:dyDescent="0.15">
      <c r="A746" s="15"/>
      <c r="B746" s="26"/>
      <c r="C746" s="27"/>
      <c r="D746" s="26"/>
      <c r="E746" s="28"/>
      <c r="F746" s="29"/>
      <c r="G746" s="29"/>
      <c r="H746" s="30"/>
      <c r="I746" s="29"/>
      <c r="J746" s="29"/>
      <c r="K746" s="29"/>
      <c r="L746" s="29"/>
      <c r="M746" s="29"/>
      <c r="N746" s="29"/>
      <c r="O746" s="29"/>
      <c r="P746" s="29"/>
      <c r="Q746" s="29"/>
      <c r="R746" s="30"/>
      <c r="S746" s="84"/>
      <c r="T746" s="84"/>
      <c r="U746" s="31"/>
      <c r="V746" s="32"/>
      <c r="W746" s="33"/>
      <c r="X746" s="17"/>
      <c r="Y746" s="17"/>
    </row>
    <row r="747" spans="1:25" ht="13" x14ac:dyDescent="0.15">
      <c r="A747" s="15"/>
      <c r="B747" s="26"/>
      <c r="C747" s="27"/>
      <c r="D747" s="26"/>
      <c r="E747" s="28"/>
      <c r="F747" s="29"/>
      <c r="G747" s="29"/>
      <c r="H747" s="30"/>
      <c r="I747" s="29"/>
      <c r="J747" s="29"/>
      <c r="K747" s="29"/>
      <c r="L747" s="29"/>
      <c r="M747" s="29"/>
      <c r="N747" s="29"/>
      <c r="O747" s="29"/>
      <c r="P747" s="29"/>
      <c r="Q747" s="29"/>
      <c r="R747" s="30"/>
      <c r="S747" s="84"/>
      <c r="T747" s="84"/>
      <c r="U747" s="31"/>
      <c r="V747" s="32"/>
      <c r="W747" s="33"/>
      <c r="X747" s="17"/>
      <c r="Y747" s="17"/>
    </row>
    <row r="748" spans="1:25" ht="13" x14ac:dyDescent="0.15">
      <c r="A748" s="15"/>
      <c r="B748" s="26"/>
      <c r="C748" s="27"/>
      <c r="D748" s="26"/>
      <c r="E748" s="28"/>
      <c r="F748" s="29"/>
      <c r="G748" s="29"/>
      <c r="H748" s="30"/>
      <c r="I748" s="29"/>
      <c r="J748" s="29"/>
      <c r="K748" s="29"/>
      <c r="L748" s="29"/>
      <c r="M748" s="29"/>
      <c r="N748" s="29"/>
      <c r="O748" s="29"/>
      <c r="P748" s="29"/>
      <c r="Q748" s="29"/>
      <c r="R748" s="30"/>
      <c r="S748" s="84"/>
      <c r="T748" s="84"/>
      <c r="U748" s="31"/>
      <c r="V748" s="32"/>
      <c r="W748" s="33"/>
      <c r="X748" s="17"/>
      <c r="Y748" s="17"/>
    </row>
    <row r="749" spans="1:25" ht="13" x14ac:dyDescent="0.15">
      <c r="A749" s="15"/>
      <c r="B749" s="26"/>
      <c r="C749" s="27"/>
      <c r="D749" s="26"/>
      <c r="E749" s="28"/>
      <c r="F749" s="29"/>
      <c r="G749" s="29"/>
      <c r="H749" s="30"/>
      <c r="I749" s="29"/>
      <c r="J749" s="29"/>
      <c r="K749" s="29"/>
      <c r="L749" s="29"/>
      <c r="M749" s="29"/>
      <c r="N749" s="29"/>
      <c r="O749" s="29"/>
      <c r="P749" s="29"/>
      <c r="Q749" s="29"/>
      <c r="R749" s="30"/>
      <c r="S749" s="84"/>
      <c r="T749" s="84"/>
      <c r="U749" s="31"/>
      <c r="V749" s="32"/>
      <c r="W749" s="33"/>
      <c r="X749" s="17"/>
      <c r="Y749" s="17"/>
    </row>
    <row r="750" spans="1:25" ht="13" x14ac:dyDescent="0.15">
      <c r="A750" s="15"/>
      <c r="B750" s="26"/>
      <c r="C750" s="27"/>
      <c r="D750" s="26"/>
      <c r="E750" s="28"/>
      <c r="F750" s="29"/>
      <c r="G750" s="29"/>
      <c r="H750" s="30"/>
      <c r="I750" s="29"/>
      <c r="J750" s="29"/>
      <c r="K750" s="29"/>
      <c r="L750" s="29"/>
      <c r="M750" s="29"/>
      <c r="N750" s="29"/>
      <c r="O750" s="29"/>
      <c r="P750" s="29"/>
      <c r="Q750" s="29"/>
      <c r="R750" s="30"/>
      <c r="S750" s="84"/>
      <c r="T750" s="84"/>
      <c r="U750" s="31"/>
      <c r="V750" s="32"/>
      <c r="W750" s="33"/>
      <c r="X750" s="17"/>
      <c r="Y750" s="17"/>
    </row>
    <row r="751" spans="1:25" ht="13" x14ac:dyDescent="0.15">
      <c r="A751" s="15"/>
      <c r="B751" s="26"/>
      <c r="C751" s="27"/>
      <c r="D751" s="26"/>
      <c r="E751" s="28"/>
      <c r="F751" s="29"/>
      <c r="G751" s="29"/>
      <c r="H751" s="30"/>
      <c r="I751" s="29"/>
      <c r="J751" s="29"/>
      <c r="K751" s="29"/>
      <c r="L751" s="29"/>
      <c r="M751" s="29"/>
      <c r="N751" s="29"/>
      <c r="O751" s="29"/>
      <c r="P751" s="29"/>
      <c r="Q751" s="29"/>
      <c r="R751" s="30"/>
      <c r="S751" s="84"/>
      <c r="T751" s="84"/>
      <c r="U751" s="31"/>
      <c r="V751" s="32"/>
      <c r="W751" s="33"/>
      <c r="X751" s="17"/>
      <c r="Y751" s="17"/>
    </row>
    <row r="752" spans="1:25" ht="13" x14ac:dyDescent="0.15">
      <c r="A752" s="15"/>
      <c r="B752" s="26"/>
      <c r="C752" s="27"/>
      <c r="D752" s="26"/>
      <c r="E752" s="28"/>
      <c r="F752" s="29"/>
      <c r="G752" s="29"/>
      <c r="H752" s="30"/>
      <c r="I752" s="29"/>
      <c r="J752" s="29"/>
      <c r="K752" s="29"/>
      <c r="L752" s="29"/>
      <c r="M752" s="29"/>
      <c r="N752" s="29"/>
      <c r="O752" s="29"/>
      <c r="P752" s="29"/>
      <c r="Q752" s="29"/>
      <c r="R752" s="30"/>
      <c r="S752" s="84"/>
      <c r="T752" s="84"/>
      <c r="U752" s="31"/>
      <c r="V752" s="32"/>
      <c r="W752" s="33"/>
      <c r="X752" s="17"/>
      <c r="Y752" s="17"/>
    </row>
    <row r="753" spans="1:25" ht="13" x14ac:dyDescent="0.15">
      <c r="A753" s="15"/>
      <c r="B753" s="26"/>
      <c r="C753" s="27"/>
      <c r="D753" s="26"/>
      <c r="E753" s="28"/>
      <c r="F753" s="29"/>
      <c r="G753" s="29"/>
      <c r="H753" s="30"/>
      <c r="I753" s="29"/>
      <c r="J753" s="29"/>
      <c r="K753" s="29"/>
      <c r="L753" s="29"/>
      <c r="M753" s="29"/>
      <c r="N753" s="29"/>
      <c r="O753" s="29"/>
      <c r="P753" s="29"/>
      <c r="Q753" s="29"/>
      <c r="R753" s="30"/>
      <c r="S753" s="84"/>
      <c r="T753" s="84"/>
      <c r="U753" s="31"/>
      <c r="V753" s="32"/>
      <c r="W753" s="33"/>
      <c r="X753" s="17"/>
      <c r="Y753" s="17"/>
    </row>
    <row r="754" spans="1:25" ht="13" x14ac:dyDescent="0.15">
      <c r="A754" s="15"/>
      <c r="B754" s="26"/>
      <c r="C754" s="27"/>
      <c r="D754" s="26"/>
      <c r="E754" s="28"/>
      <c r="F754" s="29"/>
      <c r="G754" s="29"/>
      <c r="H754" s="30"/>
      <c r="I754" s="29"/>
      <c r="J754" s="29"/>
      <c r="K754" s="29"/>
      <c r="L754" s="29"/>
      <c r="M754" s="29"/>
      <c r="N754" s="29"/>
      <c r="O754" s="29"/>
      <c r="P754" s="29"/>
      <c r="Q754" s="29"/>
      <c r="R754" s="30"/>
      <c r="S754" s="84"/>
      <c r="T754" s="84"/>
      <c r="U754" s="31"/>
      <c r="V754" s="32"/>
      <c r="W754" s="33"/>
      <c r="X754" s="17"/>
      <c r="Y754" s="17"/>
    </row>
    <row r="755" spans="1:25" ht="13" x14ac:dyDescent="0.15">
      <c r="A755" s="15"/>
      <c r="B755" s="26"/>
      <c r="C755" s="27"/>
      <c r="D755" s="26"/>
      <c r="E755" s="28"/>
      <c r="F755" s="29"/>
      <c r="G755" s="29"/>
      <c r="H755" s="30"/>
      <c r="I755" s="29"/>
      <c r="J755" s="29"/>
      <c r="K755" s="29"/>
      <c r="L755" s="29"/>
      <c r="M755" s="29"/>
      <c r="N755" s="29"/>
      <c r="O755" s="29"/>
      <c r="P755" s="29"/>
      <c r="Q755" s="29"/>
      <c r="R755" s="30"/>
      <c r="S755" s="84"/>
      <c r="T755" s="84"/>
      <c r="U755" s="31"/>
      <c r="V755" s="32"/>
      <c r="W755" s="33"/>
      <c r="X755" s="17"/>
      <c r="Y755" s="17"/>
    </row>
    <row r="756" spans="1:25" ht="13" x14ac:dyDescent="0.15">
      <c r="A756" s="15"/>
      <c r="B756" s="26"/>
      <c r="C756" s="27"/>
      <c r="D756" s="26"/>
      <c r="E756" s="28"/>
      <c r="F756" s="29"/>
      <c r="G756" s="29"/>
      <c r="H756" s="30"/>
      <c r="I756" s="29"/>
      <c r="J756" s="29"/>
      <c r="K756" s="29"/>
      <c r="L756" s="29"/>
      <c r="M756" s="29"/>
      <c r="N756" s="29"/>
      <c r="O756" s="29"/>
      <c r="P756" s="29"/>
      <c r="Q756" s="29"/>
      <c r="R756" s="30"/>
      <c r="S756" s="84"/>
      <c r="T756" s="84"/>
      <c r="U756" s="31"/>
      <c r="V756" s="32"/>
      <c r="W756" s="33"/>
      <c r="X756" s="17"/>
      <c r="Y756" s="17"/>
    </row>
    <row r="757" spans="1:25" ht="13" x14ac:dyDescent="0.15">
      <c r="A757" s="15"/>
      <c r="B757" s="26"/>
      <c r="C757" s="27"/>
      <c r="D757" s="26"/>
      <c r="E757" s="28"/>
      <c r="F757" s="29"/>
      <c r="G757" s="29"/>
      <c r="H757" s="30"/>
      <c r="I757" s="29"/>
      <c r="J757" s="29"/>
      <c r="K757" s="29"/>
      <c r="L757" s="29"/>
      <c r="M757" s="29"/>
      <c r="N757" s="29"/>
      <c r="O757" s="29"/>
      <c r="P757" s="29"/>
      <c r="Q757" s="29"/>
      <c r="R757" s="30"/>
      <c r="S757" s="84"/>
      <c r="T757" s="84"/>
      <c r="U757" s="31"/>
      <c r="V757" s="32"/>
      <c r="W757" s="33"/>
      <c r="X757" s="17"/>
      <c r="Y757" s="17"/>
    </row>
    <row r="758" spans="1:25" ht="13" x14ac:dyDescent="0.15">
      <c r="A758" s="15"/>
      <c r="B758" s="26"/>
      <c r="C758" s="27"/>
      <c r="D758" s="26"/>
      <c r="E758" s="28"/>
      <c r="F758" s="29"/>
      <c r="G758" s="29"/>
      <c r="H758" s="30"/>
      <c r="I758" s="29"/>
      <c r="J758" s="29"/>
      <c r="K758" s="29"/>
      <c r="L758" s="29"/>
      <c r="M758" s="29"/>
      <c r="N758" s="29"/>
      <c r="O758" s="29"/>
      <c r="P758" s="29"/>
      <c r="Q758" s="29"/>
      <c r="R758" s="30"/>
      <c r="S758" s="84"/>
      <c r="T758" s="84"/>
      <c r="U758" s="31"/>
      <c r="V758" s="32"/>
      <c r="W758" s="33"/>
      <c r="X758" s="17"/>
      <c r="Y758" s="17"/>
    </row>
    <row r="759" spans="1:25" ht="13" x14ac:dyDescent="0.15">
      <c r="A759" s="15"/>
      <c r="B759" s="26"/>
      <c r="C759" s="27"/>
      <c r="D759" s="26"/>
      <c r="E759" s="28"/>
      <c r="F759" s="29"/>
      <c r="G759" s="29"/>
      <c r="H759" s="30"/>
      <c r="I759" s="29"/>
      <c r="J759" s="29"/>
      <c r="K759" s="29"/>
      <c r="L759" s="29"/>
      <c r="M759" s="29"/>
      <c r="N759" s="29"/>
      <c r="O759" s="29"/>
      <c r="P759" s="29"/>
      <c r="Q759" s="29"/>
      <c r="R759" s="30"/>
      <c r="S759" s="84"/>
      <c r="T759" s="84"/>
      <c r="U759" s="31"/>
      <c r="V759" s="32"/>
      <c r="W759" s="33"/>
      <c r="X759" s="17"/>
      <c r="Y759" s="17"/>
    </row>
    <row r="760" spans="1:25" ht="13" x14ac:dyDescent="0.15">
      <c r="A760" s="15"/>
      <c r="B760" s="26"/>
      <c r="C760" s="27"/>
      <c r="D760" s="26"/>
      <c r="E760" s="28"/>
      <c r="F760" s="29"/>
      <c r="G760" s="29"/>
      <c r="H760" s="30"/>
      <c r="I760" s="29"/>
      <c r="J760" s="29"/>
      <c r="K760" s="29"/>
      <c r="L760" s="29"/>
      <c r="M760" s="29"/>
      <c r="N760" s="29"/>
      <c r="O760" s="29"/>
      <c r="P760" s="29"/>
      <c r="Q760" s="29"/>
      <c r="R760" s="30"/>
      <c r="S760" s="84"/>
      <c r="T760" s="84"/>
      <c r="U760" s="31"/>
      <c r="V760" s="32"/>
      <c r="W760" s="33"/>
      <c r="X760" s="17"/>
      <c r="Y760" s="17"/>
    </row>
    <row r="761" spans="1:25" ht="13" x14ac:dyDescent="0.15">
      <c r="A761" s="15"/>
      <c r="B761" s="26"/>
      <c r="C761" s="27"/>
      <c r="D761" s="26"/>
      <c r="E761" s="28"/>
      <c r="F761" s="29"/>
      <c r="G761" s="29"/>
      <c r="H761" s="30"/>
      <c r="I761" s="29"/>
      <c r="J761" s="29"/>
      <c r="K761" s="29"/>
      <c r="L761" s="29"/>
      <c r="M761" s="29"/>
      <c r="N761" s="29"/>
      <c r="O761" s="29"/>
      <c r="P761" s="29"/>
      <c r="Q761" s="29"/>
      <c r="R761" s="30"/>
      <c r="S761" s="84"/>
      <c r="T761" s="84"/>
      <c r="U761" s="31"/>
      <c r="V761" s="32"/>
      <c r="W761" s="33"/>
      <c r="X761" s="17"/>
      <c r="Y761" s="17"/>
    </row>
    <row r="762" spans="1:25" ht="13" x14ac:dyDescent="0.15">
      <c r="A762" s="15"/>
      <c r="B762" s="26"/>
      <c r="C762" s="27"/>
      <c r="D762" s="26"/>
      <c r="E762" s="28"/>
      <c r="F762" s="29"/>
      <c r="G762" s="29"/>
      <c r="H762" s="30"/>
      <c r="I762" s="29"/>
      <c r="J762" s="29"/>
      <c r="K762" s="29"/>
      <c r="L762" s="29"/>
      <c r="M762" s="29"/>
      <c r="N762" s="29"/>
      <c r="O762" s="29"/>
      <c r="P762" s="29"/>
      <c r="Q762" s="29"/>
      <c r="R762" s="30"/>
      <c r="S762" s="84"/>
      <c r="T762" s="84"/>
      <c r="U762" s="31"/>
      <c r="V762" s="32"/>
      <c r="W762" s="33"/>
      <c r="X762" s="17"/>
      <c r="Y762" s="17"/>
    </row>
    <row r="763" spans="1:25" ht="13" x14ac:dyDescent="0.15">
      <c r="A763" s="15"/>
      <c r="B763" s="26"/>
      <c r="C763" s="27"/>
      <c r="D763" s="26"/>
      <c r="E763" s="28"/>
      <c r="F763" s="29"/>
      <c r="G763" s="29"/>
      <c r="H763" s="30"/>
      <c r="I763" s="29"/>
      <c r="J763" s="29"/>
      <c r="K763" s="29"/>
      <c r="L763" s="29"/>
      <c r="M763" s="29"/>
      <c r="N763" s="29"/>
      <c r="O763" s="29"/>
      <c r="P763" s="29"/>
      <c r="Q763" s="29"/>
      <c r="R763" s="30"/>
      <c r="S763" s="84"/>
      <c r="T763" s="84"/>
      <c r="U763" s="31"/>
      <c r="V763" s="32"/>
      <c r="W763" s="33"/>
      <c r="X763" s="17"/>
      <c r="Y763" s="17"/>
    </row>
    <row r="764" spans="1:25" ht="13" x14ac:dyDescent="0.15">
      <c r="A764" s="15"/>
      <c r="B764" s="26"/>
      <c r="C764" s="27"/>
      <c r="D764" s="26"/>
      <c r="E764" s="28"/>
      <c r="F764" s="29"/>
      <c r="G764" s="29"/>
      <c r="H764" s="30"/>
      <c r="I764" s="29"/>
      <c r="J764" s="29"/>
      <c r="K764" s="29"/>
      <c r="L764" s="29"/>
      <c r="M764" s="29"/>
      <c r="N764" s="29"/>
      <c r="O764" s="29"/>
      <c r="P764" s="29"/>
      <c r="Q764" s="29"/>
      <c r="R764" s="30"/>
      <c r="S764" s="84"/>
      <c r="T764" s="84"/>
      <c r="U764" s="31"/>
      <c r="V764" s="32"/>
      <c r="W764" s="33"/>
      <c r="X764" s="17"/>
      <c r="Y764" s="17"/>
    </row>
    <row r="765" spans="1:25" ht="13" x14ac:dyDescent="0.15">
      <c r="A765" s="15"/>
      <c r="B765" s="26"/>
      <c r="C765" s="27"/>
      <c r="D765" s="26"/>
      <c r="E765" s="28"/>
      <c r="F765" s="29"/>
      <c r="G765" s="29"/>
      <c r="H765" s="30"/>
      <c r="I765" s="29"/>
      <c r="J765" s="29"/>
      <c r="K765" s="29"/>
      <c r="L765" s="29"/>
      <c r="M765" s="29"/>
      <c r="N765" s="29"/>
      <c r="O765" s="29"/>
      <c r="P765" s="29"/>
      <c r="Q765" s="29"/>
      <c r="R765" s="30"/>
      <c r="S765" s="84"/>
      <c r="T765" s="84"/>
      <c r="U765" s="31"/>
      <c r="V765" s="32"/>
      <c r="W765" s="33"/>
      <c r="X765" s="17"/>
      <c r="Y765" s="17"/>
    </row>
    <row r="766" spans="1:25" ht="13" x14ac:dyDescent="0.15">
      <c r="A766" s="15"/>
      <c r="B766" s="26"/>
      <c r="C766" s="27"/>
      <c r="D766" s="26"/>
      <c r="E766" s="28"/>
      <c r="F766" s="29"/>
      <c r="G766" s="29"/>
      <c r="H766" s="30"/>
      <c r="I766" s="29"/>
      <c r="J766" s="29"/>
      <c r="K766" s="29"/>
      <c r="L766" s="29"/>
      <c r="M766" s="29"/>
      <c r="N766" s="29"/>
      <c r="O766" s="29"/>
      <c r="P766" s="29"/>
      <c r="Q766" s="29"/>
      <c r="R766" s="30"/>
      <c r="S766" s="84"/>
      <c r="T766" s="84"/>
      <c r="U766" s="31"/>
      <c r="V766" s="32"/>
      <c r="W766" s="33"/>
      <c r="X766" s="17"/>
      <c r="Y766" s="17"/>
    </row>
    <row r="767" spans="1:25" ht="13" x14ac:dyDescent="0.15">
      <c r="A767" s="15"/>
      <c r="B767" s="26"/>
      <c r="C767" s="27"/>
      <c r="D767" s="26"/>
      <c r="E767" s="28"/>
      <c r="F767" s="29"/>
      <c r="G767" s="29"/>
      <c r="H767" s="30"/>
      <c r="I767" s="29"/>
      <c r="J767" s="29"/>
      <c r="K767" s="29"/>
      <c r="L767" s="29"/>
      <c r="M767" s="29"/>
      <c r="N767" s="29"/>
      <c r="O767" s="29"/>
      <c r="P767" s="29"/>
      <c r="Q767" s="29"/>
      <c r="R767" s="30"/>
      <c r="S767" s="84"/>
      <c r="T767" s="84"/>
      <c r="U767" s="31"/>
      <c r="V767" s="32"/>
      <c r="W767" s="33"/>
      <c r="X767" s="17"/>
      <c r="Y767" s="17"/>
    </row>
    <row r="768" spans="1:25" ht="13" x14ac:dyDescent="0.15">
      <c r="A768" s="15"/>
      <c r="B768" s="26"/>
      <c r="C768" s="27"/>
      <c r="D768" s="26"/>
      <c r="E768" s="28"/>
      <c r="F768" s="29"/>
      <c r="G768" s="29"/>
      <c r="H768" s="30"/>
      <c r="I768" s="29"/>
      <c r="J768" s="29"/>
      <c r="K768" s="29"/>
      <c r="L768" s="29"/>
      <c r="M768" s="29"/>
      <c r="N768" s="29"/>
      <c r="O768" s="29"/>
      <c r="P768" s="29"/>
      <c r="Q768" s="29"/>
      <c r="R768" s="30"/>
      <c r="S768" s="84"/>
      <c r="T768" s="84"/>
      <c r="U768" s="31"/>
      <c r="V768" s="32"/>
      <c r="W768" s="33"/>
      <c r="X768" s="17"/>
      <c r="Y768" s="17"/>
    </row>
    <row r="769" spans="1:25" ht="13" x14ac:dyDescent="0.15">
      <c r="A769" s="15"/>
      <c r="B769" s="26"/>
      <c r="C769" s="27"/>
      <c r="D769" s="26"/>
      <c r="E769" s="28"/>
      <c r="F769" s="29"/>
      <c r="G769" s="29"/>
      <c r="H769" s="30"/>
      <c r="I769" s="29"/>
      <c r="J769" s="29"/>
      <c r="K769" s="29"/>
      <c r="L769" s="29"/>
      <c r="M769" s="29"/>
      <c r="N769" s="29"/>
      <c r="O769" s="29"/>
      <c r="P769" s="29"/>
      <c r="Q769" s="29"/>
      <c r="R769" s="30"/>
      <c r="S769" s="84"/>
      <c r="T769" s="84"/>
      <c r="U769" s="31"/>
      <c r="V769" s="32"/>
      <c r="W769" s="33"/>
      <c r="X769" s="17"/>
      <c r="Y769" s="17"/>
    </row>
    <row r="770" spans="1:25" ht="13" x14ac:dyDescent="0.15">
      <c r="A770" s="15"/>
      <c r="B770" s="26"/>
      <c r="C770" s="27"/>
      <c r="D770" s="26"/>
      <c r="E770" s="28"/>
      <c r="F770" s="29"/>
      <c r="G770" s="29"/>
      <c r="H770" s="30"/>
      <c r="I770" s="29"/>
      <c r="J770" s="29"/>
      <c r="K770" s="29"/>
      <c r="L770" s="29"/>
      <c r="M770" s="29"/>
      <c r="N770" s="29"/>
      <c r="O770" s="29"/>
      <c r="P770" s="29"/>
      <c r="Q770" s="29"/>
      <c r="R770" s="30"/>
      <c r="S770" s="84"/>
      <c r="T770" s="84"/>
      <c r="U770" s="31"/>
      <c r="V770" s="32"/>
      <c r="W770" s="33"/>
      <c r="X770" s="17"/>
      <c r="Y770" s="17"/>
    </row>
    <row r="771" spans="1:25" ht="13" x14ac:dyDescent="0.15">
      <c r="A771" s="15"/>
      <c r="B771" s="26"/>
      <c r="C771" s="27"/>
      <c r="D771" s="26"/>
      <c r="E771" s="28"/>
      <c r="F771" s="29"/>
      <c r="G771" s="29"/>
      <c r="H771" s="30"/>
      <c r="I771" s="29"/>
      <c r="J771" s="29"/>
      <c r="K771" s="29"/>
      <c r="L771" s="29"/>
      <c r="M771" s="29"/>
      <c r="N771" s="29"/>
      <c r="O771" s="29"/>
      <c r="P771" s="29"/>
      <c r="Q771" s="29"/>
      <c r="R771" s="30"/>
      <c r="S771" s="84"/>
      <c r="T771" s="84"/>
      <c r="U771" s="31"/>
      <c r="V771" s="32"/>
      <c r="W771" s="33"/>
      <c r="X771" s="17"/>
      <c r="Y771" s="17"/>
    </row>
    <row r="772" spans="1:25" ht="13" x14ac:dyDescent="0.15">
      <c r="A772" s="15"/>
      <c r="B772" s="26"/>
      <c r="C772" s="27"/>
      <c r="D772" s="26"/>
      <c r="E772" s="28"/>
      <c r="F772" s="29"/>
      <c r="G772" s="29"/>
      <c r="H772" s="30"/>
      <c r="I772" s="29"/>
      <c r="J772" s="29"/>
      <c r="K772" s="29"/>
      <c r="L772" s="29"/>
      <c r="M772" s="29"/>
      <c r="N772" s="29"/>
      <c r="O772" s="29"/>
      <c r="P772" s="29"/>
      <c r="Q772" s="29"/>
      <c r="R772" s="30"/>
      <c r="S772" s="84"/>
      <c r="T772" s="84"/>
      <c r="U772" s="31"/>
      <c r="V772" s="32"/>
      <c r="W772" s="33"/>
      <c r="X772" s="17"/>
      <c r="Y772" s="17"/>
    </row>
    <row r="773" spans="1:25" ht="13" x14ac:dyDescent="0.15">
      <c r="A773" s="15"/>
      <c r="B773" s="26"/>
      <c r="C773" s="27"/>
      <c r="D773" s="26"/>
      <c r="E773" s="28"/>
      <c r="F773" s="29"/>
      <c r="G773" s="29"/>
      <c r="H773" s="30"/>
      <c r="I773" s="29"/>
      <c r="J773" s="29"/>
      <c r="K773" s="29"/>
      <c r="L773" s="29"/>
      <c r="M773" s="29"/>
      <c r="N773" s="29"/>
      <c r="O773" s="29"/>
      <c r="P773" s="29"/>
      <c r="Q773" s="29"/>
      <c r="R773" s="30"/>
      <c r="S773" s="84"/>
      <c r="T773" s="84"/>
      <c r="U773" s="31"/>
      <c r="V773" s="32"/>
      <c r="W773" s="33"/>
      <c r="X773" s="17"/>
      <c r="Y773" s="17"/>
    </row>
    <row r="774" spans="1:25" ht="13" x14ac:dyDescent="0.15">
      <c r="A774" s="15"/>
      <c r="B774" s="26"/>
      <c r="C774" s="27"/>
      <c r="D774" s="26"/>
      <c r="E774" s="28"/>
      <c r="F774" s="29"/>
      <c r="G774" s="29"/>
      <c r="H774" s="30"/>
      <c r="I774" s="29"/>
      <c r="J774" s="29"/>
      <c r="K774" s="29"/>
      <c r="L774" s="29"/>
      <c r="M774" s="29"/>
      <c r="N774" s="29"/>
      <c r="O774" s="29"/>
      <c r="P774" s="29"/>
      <c r="Q774" s="29"/>
      <c r="R774" s="30"/>
      <c r="S774" s="84"/>
      <c r="T774" s="84"/>
      <c r="U774" s="31"/>
      <c r="V774" s="32"/>
      <c r="W774" s="33"/>
      <c r="X774" s="17"/>
      <c r="Y774" s="17"/>
    </row>
    <row r="775" spans="1:25" ht="13" x14ac:dyDescent="0.15">
      <c r="A775" s="15"/>
      <c r="B775" s="26"/>
      <c r="C775" s="27"/>
      <c r="D775" s="26"/>
      <c r="E775" s="28"/>
      <c r="F775" s="29"/>
      <c r="G775" s="29"/>
      <c r="H775" s="30"/>
      <c r="I775" s="29"/>
      <c r="J775" s="29"/>
      <c r="K775" s="29"/>
      <c r="L775" s="29"/>
      <c r="M775" s="29"/>
      <c r="N775" s="29"/>
      <c r="O775" s="29"/>
      <c r="P775" s="29"/>
      <c r="Q775" s="29"/>
      <c r="R775" s="30"/>
      <c r="S775" s="84"/>
      <c r="T775" s="84"/>
      <c r="U775" s="31"/>
      <c r="V775" s="32"/>
      <c r="W775" s="33"/>
      <c r="X775" s="17"/>
      <c r="Y775" s="17"/>
    </row>
    <row r="776" spans="1:25" ht="13" x14ac:dyDescent="0.15">
      <c r="A776" s="15"/>
      <c r="B776" s="26"/>
      <c r="C776" s="27"/>
      <c r="D776" s="26"/>
      <c r="E776" s="28"/>
      <c r="F776" s="29"/>
      <c r="G776" s="29"/>
      <c r="H776" s="30"/>
      <c r="I776" s="29"/>
      <c r="J776" s="29"/>
      <c r="K776" s="29"/>
      <c r="L776" s="29"/>
      <c r="M776" s="29"/>
      <c r="N776" s="29"/>
      <c r="O776" s="29"/>
      <c r="P776" s="29"/>
      <c r="Q776" s="29"/>
      <c r="R776" s="30"/>
      <c r="S776" s="84"/>
      <c r="T776" s="84"/>
      <c r="U776" s="31"/>
      <c r="V776" s="32"/>
      <c r="W776" s="33"/>
      <c r="X776" s="17"/>
      <c r="Y776" s="17"/>
    </row>
    <row r="777" spans="1:25" ht="13" x14ac:dyDescent="0.15">
      <c r="A777" s="15"/>
      <c r="B777" s="26"/>
      <c r="C777" s="27"/>
      <c r="D777" s="26"/>
      <c r="E777" s="28"/>
      <c r="F777" s="29"/>
      <c r="G777" s="29"/>
      <c r="H777" s="30"/>
      <c r="I777" s="29"/>
      <c r="J777" s="29"/>
      <c r="K777" s="29"/>
      <c r="L777" s="29"/>
      <c r="M777" s="29"/>
      <c r="N777" s="29"/>
      <c r="O777" s="29"/>
      <c r="P777" s="29"/>
      <c r="Q777" s="29"/>
      <c r="R777" s="30"/>
      <c r="S777" s="84"/>
      <c r="T777" s="84"/>
      <c r="U777" s="31"/>
      <c r="V777" s="32"/>
      <c r="W777" s="33"/>
      <c r="X777" s="17"/>
      <c r="Y777" s="17"/>
    </row>
    <row r="778" spans="1:25" ht="13" x14ac:dyDescent="0.15">
      <c r="A778" s="15"/>
      <c r="B778" s="26"/>
      <c r="C778" s="27"/>
      <c r="D778" s="26"/>
      <c r="E778" s="28"/>
      <c r="F778" s="29"/>
      <c r="G778" s="29"/>
      <c r="H778" s="30"/>
      <c r="I778" s="29"/>
      <c r="J778" s="29"/>
      <c r="K778" s="29"/>
      <c r="L778" s="29"/>
      <c r="M778" s="29"/>
      <c r="N778" s="29"/>
      <c r="O778" s="29"/>
      <c r="P778" s="29"/>
      <c r="Q778" s="29"/>
      <c r="R778" s="30"/>
      <c r="S778" s="84"/>
      <c r="T778" s="84"/>
      <c r="U778" s="31"/>
      <c r="V778" s="32"/>
      <c r="W778" s="33"/>
      <c r="X778" s="17"/>
      <c r="Y778" s="17"/>
    </row>
    <row r="779" spans="1:25" ht="13" x14ac:dyDescent="0.15">
      <c r="A779" s="15"/>
      <c r="B779" s="26"/>
      <c r="C779" s="27"/>
      <c r="D779" s="26"/>
      <c r="E779" s="28"/>
      <c r="F779" s="29"/>
      <c r="G779" s="29"/>
      <c r="H779" s="30"/>
      <c r="I779" s="29"/>
      <c r="J779" s="29"/>
      <c r="K779" s="29"/>
      <c r="L779" s="29"/>
      <c r="M779" s="29"/>
      <c r="N779" s="29"/>
      <c r="O779" s="29"/>
      <c r="P779" s="29"/>
      <c r="Q779" s="29"/>
      <c r="R779" s="30"/>
      <c r="S779" s="84"/>
      <c r="T779" s="84"/>
      <c r="U779" s="31"/>
      <c r="V779" s="32"/>
      <c r="W779" s="33"/>
      <c r="X779" s="17"/>
      <c r="Y779" s="17"/>
    </row>
    <row r="780" spans="1:25" ht="13" x14ac:dyDescent="0.15">
      <c r="A780" s="15"/>
      <c r="B780" s="26"/>
      <c r="C780" s="27"/>
      <c r="D780" s="26"/>
      <c r="E780" s="28"/>
      <c r="F780" s="29"/>
      <c r="G780" s="29"/>
      <c r="H780" s="30"/>
      <c r="I780" s="29"/>
      <c r="J780" s="29"/>
      <c r="K780" s="29"/>
      <c r="L780" s="29"/>
      <c r="M780" s="29"/>
      <c r="N780" s="29"/>
      <c r="O780" s="29"/>
      <c r="P780" s="29"/>
      <c r="Q780" s="29"/>
      <c r="R780" s="30"/>
      <c r="S780" s="84"/>
      <c r="T780" s="84"/>
      <c r="U780" s="31"/>
      <c r="V780" s="32"/>
      <c r="W780" s="33"/>
      <c r="X780" s="17"/>
      <c r="Y780" s="17"/>
    </row>
    <row r="781" spans="1:25" ht="13" x14ac:dyDescent="0.15">
      <c r="A781" s="15"/>
      <c r="B781" s="26"/>
      <c r="C781" s="27"/>
      <c r="D781" s="26"/>
      <c r="E781" s="28"/>
      <c r="F781" s="29"/>
      <c r="G781" s="29"/>
      <c r="H781" s="30"/>
      <c r="I781" s="29"/>
      <c r="J781" s="29"/>
      <c r="K781" s="29"/>
      <c r="L781" s="29"/>
      <c r="M781" s="29"/>
      <c r="N781" s="29"/>
      <c r="O781" s="29"/>
      <c r="P781" s="29"/>
      <c r="Q781" s="29"/>
      <c r="R781" s="30"/>
      <c r="S781" s="84"/>
      <c r="T781" s="84"/>
      <c r="U781" s="31"/>
      <c r="V781" s="32"/>
      <c r="W781" s="33"/>
      <c r="X781" s="17"/>
      <c r="Y781" s="17"/>
    </row>
    <row r="782" spans="1:25" ht="13" x14ac:dyDescent="0.15">
      <c r="A782" s="15"/>
      <c r="B782" s="26"/>
      <c r="C782" s="27"/>
      <c r="D782" s="26"/>
      <c r="E782" s="28"/>
      <c r="F782" s="29"/>
      <c r="G782" s="29"/>
      <c r="H782" s="30"/>
      <c r="I782" s="29"/>
      <c r="J782" s="29"/>
      <c r="K782" s="29"/>
      <c r="L782" s="29"/>
      <c r="M782" s="29"/>
      <c r="N782" s="29"/>
      <c r="O782" s="29"/>
      <c r="P782" s="29"/>
      <c r="Q782" s="29"/>
      <c r="R782" s="30"/>
      <c r="S782" s="84"/>
      <c r="T782" s="84"/>
      <c r="U782" s="31"/>
      <c r="V782" s="32"/>
      <c r="W782" s="33"/>
      <c r="X782" s="17"/>
      <c r="Y782" s="17"/>
    </row>
    <row r="783" spans="1:25" ht="13" x14ac:dyDescent="0.15">
      <c r="A783" s="15"/>
      <c r="B783" s="26"/>
      <c r="C783" s="27"/>
      <c r="D783" s="26"/>
      <c r="E783" s="28"/>
      <c r="F783" s="29"/>
      <c r="G783" s="29"/>
      <c r="H783" s="30"/>
      <c r="I783" s="29"/>
      <c r="J783" s="29"/>
      <c r="K783" s="29"/>
      <c r="L783" s="29"/>
      <c r="M783" s="29"/>
      <c r="N783" s="29"/>
      <c r="O783" s="29"/>
      <c r="P783" s="29"/>
      <c r="Q783" s="29"/>
      <c r="R783" s="30"/>
      <c r="S783" s="84"/>
      <c r="T783" s="84"/>
      <c r="U783" s="31"/>
      <c r="V783" s="32"/>
      <c r="W783" s="33"/>
      <c r="X783" s="17"/>
      <c r="Y783" s="17"/>
    </row>
    <row r="784" spans="1:25" ht="13" x14ac:dyDescent="0.15">
      <c r="A784" s="15"/>
      <c r="B784" s="26"/>
      <c r="C784" s="27"/>
      <c r="D784" s="26"/>
      <c r="E784" s="28"/>
      <c r="F784" s="29"/>
      <c r="G784" s="29"/>
      <c r="H784" s="30"/>
      <c r="I784" s="29"/>
      <c r="J784" s="29"/>
      <c r="K784" s="29"/>
      <c r="L784" s="29"/>
      <c r="M784" s="29"/>
      <c r="N784" s="29"/>
      <c r="O784" s="29"/>
      <c r="P784" s="29"/>
      <c r="Q784" s="29"/>
      <c r="R784" s="30"/>
      <c r="S784" s="84"/>
      <c r="T784" s="84"/>
      <c r="U784" s="31"/>
      <c r="V784" s="32"/>
      <c r="W784" s="33"/>
      <c r="X784" s="17"/>
      <c r="Y784" s="17"/>
    </row>
    <row r="785" spans="1:25" ht="13" x14ac:dyDescent="0.15">
      <c r="A785" s="15"/>
      <c r="B785" s="26"/>
      <c r="C785" s="27"/>
      <c r="D785" s="26"/>
      <c r="E785" s="28"/>
      <c r="F785" s="29"/>
      <c r="G785" s="29"/>
      <c r="H785" s="30"/>
      <c r="I785" s="29"/>
      <c r="J785" s="29"/>
      <c r="K785" s="29"/>
      <c r="L785" s="29"/>
      <c r="M785" s="29"/>
      <c r="N785" s="29"/>
      <c r="O785" s="29"/>
      <c r="P785" s="29"/>
      <c r="Q785" s="29"/>
      <c r="R785" s="30"/>
      <c r="S785" s="84"/>
      <c r="T785" s="84"/>
      <c r="U785" s="31"/>
      <c r="V785" s="32"/>
      <c r="W785" s="33"/>
      <c r="X785" s="17"/>
      <c r="Y785" s="17"/>
    </row>
    <row r="786" spans="1:25" ht="13" x14ac:dyDescent="0.15">
      <c r="A786" s="15"/>
      <c r="B786" s="26"/>
      <c r="C786" s="27"/>
      <c r="D786" s="26"/>
      <c r="E786" s="28"/>
      <c r="F786" s="29"/>
      <c r="G786" s="29"/>
      <c r="H786" s="30"/>
      <c r="I786" s="29"/>
      <c r="J786" s="29"/>
      <c r="K786" s="29"/>
      <c r="L786" s="29"/>
      <c r="M786" s="29"/>
      <c r="N786" s="29"/>
      <c r="O786" s="29"/>
      <c r="P786" s="29"/>
      <c r="Q786" s="29"/>
      <c r="R786" s="30"/>
      <c r="S786" s="84"/>
      <c r="T786" s="84"/>
      <c r="U786" s="31"/>
      <c r="V786" s="32"/>
      <c r="W786" s="33"/>
      <c r="X786" s="17"/>
      <c r="Y786" s="17"/>
    </row>
    <row r="787" spans="1:25" ht="13" x14ac:dyDescent="0.15">
      <c r="A787" s="15"/>
      <c r="B787" s="26"/>
      <c r="C787" s="27"/>
      <c r="D787" s="26"/>
      <c r="E787" s="28"/>
      <c r="F787" s="29"/>
      <c r="G787" s="29"/>
      <c r="H787" s="30"/>
      <c r="I787" s="29"/>
      <c r="J787" s="29"/>
      <c r="K787" s="29"/>
      <c r="L787" s="29"/>
      <c r="M787" s="29"/>
      <c r="N787" s="29"/>
      <c r="O787" s="29"/>
      <c r="P787" s="29"/>
      <c r="Q787" s="29"/>
      <c r="R787" s="30"/>
      <c r="S787" s="84"/>
      <c r="T787" s="84"/>
      <c r="U787" s="31"/>
      <c r="V787" s="32"/>
      <c r="W787" s="33"/>
      <c r="X787" s="17"/>
      <c r="Y787" s="17"/>
    </row>
    <row r="788" spans="1:25" ht="13" x14ac:dyDescent="0.15">
      <c r="A788" s="15"/>
      <c r="B788" s="26"/>
      <c r="C788" s="27"/>
      <c r="D788" s="26"/>
      <c r="E788" s="28"/>
      <c r="F788" s="29"/>
      <c r="G788" s="29"/>
      <c r="H788" s="30"/>
      <c r="I788" s="29"/>
      <c r="J788" s="29"/>
      <c r="K788" s="29"/>
      <c r="L788" s="29"/>
      <c r="M788" s="29"/>
      <c r="N788" s="29"/>
      <c r="O788" s="29"/>
      <c r="P788" s="29"/>
      <c r="Q788" s="29"/>
      <c r="R788" s="30"/>
      <c r="S788" s="84"/>
      <c r="T788" s="84"/>
      <c r="U788" s="31"/>
      <c r="V788" s="32"/>
      <c r="W788" s="33"/>
      <c r="X788" s="17"/>
      <c r="Y788" s="17"/>
    </row>
    <row r="789" spans="1:25" ht="13" x14ac:dyDescent="0.15">
      <c r="A789" s="15"/>
      <c r="B789" s="26"/>
      <c r="C789" s="27"/>
      <c r="D789" s="26"/>
      <c r="E789" s="28"/>
      <c r="F789" s="29"/>
      <c r="G789" s="29"/>
      <c r="H789" s="30"/>
      <c r="I789" s="29"/>
      <c r="J789" s="29"/>
      <c r="K789" s="29"/>
      <c r="L789" s="29"/>
      <c r="M789" s="29"/>
      <c r="N789" s="29"/>
      <c r="O789" s="29"/>
      <c r="P789" s="29"/>
      <c r="Q789" s="29"/>
      <c r="R789" s="30"/>
      <c r="S789" s="84"/>
      <c r="T789" s="84"/>
      <c r="U789" s="31"/>
      <c r="V789" s="32"/>
      <c r="W789" s="33"/>
      <c r="X789" s="17"/>
      <c r="Y789" s="17"/>
    </row>
    <row r="790" spans="1:25" ht="13" x14ac:dyDescent="0.15">
      <c r="A790" s="15"/>
      <c r="B790" s="26"/>
      <c r="C790" s="27"/>
      <c r="D790" s="26"/>
      <c r="E790" s="28"/>
      <c r="F790" s="29"/>
      <c r="G790" s="29"/>
      <c r="H790" s="30"/>
      <c r="I790" s="29"/>
      <c r="J790" s="29"/>
      <c r="K790" s="29"/>
      <c r="L790" s="29"/>
      <c r="M790" s="29"/>
      <c r="N790" s="29"/>
      <c r="O790" s="29"/>
      <c r="P790" s="29"/>
      <c r="Q790" s="29"/>
      <c r="R790" s="30"/>
      <c r="S790" s="84"/>
      <c r="T790" s="84"/>
      <c r="U790" s="31"/>
      <c r="V790" s="32"/>
      <c r="W790" s="33"/>
      <c r="X790" s="17"/>
      <c r="Y790" s="17"/>
    </row>
    <row r="791" spans="1:25" ht="13" x14ac:dyDescent="0.15">
      <c r="A791" s="15"/>
      <c r="B791" s="26"/>
      <c r="C791" s="27"/>
      <c r="D791" s="26"/>
      <c r="E791" s="28"/>
      <c r="F791" s="29"/>
      <c r="G791" s="29"/>
      <c r="H791" s="30"/>
      <c r="I791" s="29"/>
      <c r="J791" s="29"/>
      <c r="K791" s="29"/>
      <c r="L791" s="29"/>
      <c r="M791" s="29"/>
      <c r="N791" s="29"/>
      <c r="O791" s="29"/>
      <c r="P791" s="29"/>
      <c r="Q791" s="29"/>
      <c r="R791" s="30"/>
      <c r="S791" s="84"/>
      <c r="T791" s="84"/>
      <c r="U791" s="31"/>
      <c r="V791" s="32"/>
      <c r="W791" s="33"/>
      <c r="X791" s="17"/>
      <c r="Y791" s="17"/>
    </row>
    <row r="792" spans="1:25" ht="13" x14ac:dyDescent="0.15">
      <c r="A792" s="15"/>
      <c r="B792" s="26"/>
      <c r="C792" s="27"/>
      <c r="D792" s="26"/>
      <c r="E792" s="28"/>
      <c r="F792" s="29"/>
      <c r="G792" s="29"/>
      <c r="H792" s="30"/>
      <c r="I792" s="29"/>
      <c r="J792" s="29"/>
      <c r="K792" s="29"/>
      <c r="L792" s="29"/>
      <c r="M792" s="29"/>
      <c r="N792" s="29"/>
      <c r="O792" s="29"/>
      <c r="P792" s="29"/>
      <c r="Q792" s="29"/>
      <c r="R792" s="30"/>
      <c r="S792" s="84"/>
      <c r="T792" s="84"/>
      <c r="U792" s="31"/>
      <c r="V792" s="32"/>
      <c r="W792" s="33"/>
      <c r="X792" s="17"/>
      <c r="Y792" s="17"/>
    </row>
    <row r="793" spans="1:25" ht="13" x14ac:dyDescent="0.15">
      <c r="A793" s="15"/>
      <c r="B793" s="26"/>
      <c r="C793" s="27"/>
      <c r="D793" s="26"/>
      <c r="E793" s="28"/>
      <c r="F793" s="29"/>
      <c r="G793" s="29"/>
      <c r="H793" s="30"/>
      <c r="I793" s="29"/>
      <c r="J793" s="29"/>
      <c r="K793" s="29"/>
      <c r="L793" s="29"/>
      <c r="M793" s="29"/>
      <c r="N793" s="29"/>
      <c r="O793" s="29"/>
      <c r="P793" s="29"/>
      <c r="Q793" s="29"/>
      <c r="R793" s="30"/>
      <c r="S793" s="84"/>
      <c r="T793" s="84"/>
      <c r="U793" s="31"/>
      <c r="V793" s="32"/>
      <c r="W793" s="33"/>
      <c r="X793" s="17"/>
      <c r="Y793" s="17"/>
    </row>
    <row r="794" spans="1:25" ht="13" x14ac:dyDescent="0.15">
      <c r="A794" s="15"/>
      <c r="B794" s="26"/>
      <c r="C794" s="27"/>
      <c r="D794" s="26"/>
      <c r="E794" s="28"/>
      <c r="F794" s="29"/>
      <c r="G794" s="29"/>
      <c r="H794" s="30"/>
      <c r="I794" s="29"/>
      <c r="J794" s="29"/>
      <c r="K794" s="29"/>
      <c r="L794" s="29"/>
      <c r="M794" s="29"/>
      <c r="N794" s="29"/>
      <c r="O794" s="29"/>
      <c r="P794" s="29"/>
      <c r="Q794" s="29"/>
      <c r="R794" s="30"/>
      <c r="S794" s="84"/>
      <c r="T794" s="84"/>
      <c r="U794" s="31"/>
      <c r="V794" s="32"/>
      <c r="W794" s="33"/>
      <c r="X794" s="17"/>
      <c r="Y794" s="17"/>
    </row>
    <row r="795" spans="1:25" ht="13" x14ac:dyDescent="0.15">
      <c r="A795" s="15"/>
      <c r="B795" s="26"/>
      <c r="C795" s="27"/>
      <c r="D795" s="26"/>
      <c r="E795" s="28"/>
      <c r="F795" s="29"/>
      <c r="G795" s="29"/>
      <c r="H795" s="30"/>
      <c r="I795" s="29"/>
      <c r="J795" s="29"/>
      <c r="K795" s="29"/>
      <c r="L795" s="29"/>
      <c r="M795" s="29"/>
      <c r="N795" s="29"/>
      <c r="O795" s="29"/>
      <c r="P795" s="29"/>
      <c r="Q795" s="29"/>
      <c r="R795" s="30"/>
      <c r="S795" s="84"/>
      <c r="T795" s="84"/>
      <c r="U795" s="31"/>
      <c r="V795" s="32"/>
      <c r="W795" s="33"/>
      <c r="X795" s="17"/>
      <c r="Y795" s="17"/>
    </row>
    <row r="796" spans="1:25" ht="13" x14ac:dyDescent="0.15">
      <c r="A796" s="15"/>
      <c r="B796" s="26"/>
      <c r="C796" s="27"/>
      <c r="D796" s="26"/>
      <c r="E796" s="28"/>
      <c r="F796" s="29"/>
      <c r="G796" s="29"/>
      <c r="H796" s="30"/>
      <c r="I796" s="29"/>
      <c r="J796" s="29"/>
      <c r="K796" s="29"/>
      <c r="L796" s="29"/>
      <c r="M796" s="29"/>
      <c r="N796" s="29"/>
      <c r="O796" s="29"/>
      <c r="P796" s="29"/>
      <c r="Q796" s="29"/>
      <c r="R796" s="30"/>
      <c r="S796" s="84"/>
      <c r="T796" s="84"/>
      <c r="U796" s="31"/>
      <c r="V796" s="32"/>
      <c r="W796" s="33"/>
      <c r="X796" s="17"/>
      <c r="Y796" s="17"/>
    </row>
    <row r="797" spans="1:25" ht="13" x14ac:dyDescent="0.15">
      <c r="A797" s="15"/>
      <c r="B797" s="26"/>
      <c r="C797" s="27"/>
      <c r="D797" s="26"/>
      <c r="E797" s="28"/>
      <c r="F797" s="29"/>
      <c r="G797" s="29"/>
      <c r="H797" s="30"/>
      <c r="I797" s="29"/>
      <c r="J797" s="29"/>
      <c r="K797" s="29"/>
      <c r="L797" s="29"/>
      <c r="M797" s="29"/>
      <c r="N797" s="29"/>
      <c r="O797" s="29"/>
      <c r="P797" s="29"/>
      <c r="Q797" s="29"/>
      <c r="R797" s="30"/>
      <c r="S797" s="84"/>
      <c r="T797" s="84"/>
      <c r="U797" s="31"/>
      <c r="V797" s="32"/>
      <c r="W797" s="33"/>
      <c r="X797" s="17"/>
      <c r="Y797" s="17"/>
    </row>
    <row r="798" spans="1:25" ht="13" x14ac:dyDescent="0.15">
      <c r="A798" s="15"/>
      <c r="B798" s="26"/>
      <c r="C798" s="27"/>
      <c r="D798" s="26"/>
      <c r="E798" s="28"/>
      <c r="F798" s="29"/>
      <c r="G798" s="29"/>
      <c r="H798" s="30"/>
      <c r="I798" s="29"/>
      <c r="J798" s="29"/>
      <c r="K798" s="29"/>
      <c r="L798" s="29"/>
      <c r="M798" s="29"/>
      <c r="N798" s="29"/>
      <c r="O798" s="29"/>
      <c r="P798" s="29"/>
      <c r="Q798" s="29"/>
      <c r="R798" s="30"/>
      <c r="S798" s="84"/>
      <c r="T798" s="84"/>
      <c r="U798" s="31"/>
      <c r="V798" s="32"/>
      <c r="W798" s="33"/>
      <c r="X798" s="17"/>
      <c r="Y798" s="17"/>
    </row>
    <row r="799" spans="1:25" ht="13" x14ac:dyDescent="0.15">
      <c r="A799" s="15"/>
      <c r="B799" s="26"/>
      <c r="C799" s="27"/>
      <c r="D799" s="26"/>
      <c r="E799" s="28"/>
      <c r="F799" s="29"/>
      <c r="G799" s="29"/>
      <c r="H799" s="30"/>
      <c r="I799" s="29"/>
      <c r="J799" s="29"/>
      <c r="K799" s="29"/>
      <c r="L799" s="29"/>
      <c r="M799" s="29"/>
      <c r="N799" s="29"/>
      <c r="O799" s="29"/>
      <c r="P799" s="29"/>
      <c r="Q799" s="29"/>
      <c r="R799" s="30"/>
      <c r="S799" s="84"/>
      <c r="T799" s="84"/>
      <c r="U799" s="31"/>
      <c r="V799" s="32"/>
      <c r="W799" s="33"/>
      <c r="X799" s="17"/>
      <c r="Y799" s="17"/>
    </row>
    <row r="800" spans="1:25" ht="13" x14ac:dyDescent="0.15">
      <c r="A800" s="15"/>
      <c r="B800" s="26"/>
      <c r="C800" s="27"/>
      <c r="D800" s="26"/>
      <c r="E800" s="28"/>
      <c r="F800" s="29"/>
      <c r="G800" s="29"/>
      <c r="H800" s="30"/>
      <c r="I800" s="29"/>
      <c r="J800" s="29"/>
      <c r="K800" s="29"/>
      <c r="L800" s="29"/>
      <c r="M800" s="29"/>
      <c r="N800" s="29"/>
      <c r="O800" s="29"/>
      <c r="P800" s="29"/>
      <c r="Q800" s="29"/>
      <c r="R800" s="30"/>
      <c r="S800" s="84"/>
      <c r="T800" s="84"/>
      <c r="U800" s="31"/>
      <c r="V800" s="32"/>
      <c r="W800" s="33"/>
      <c r="X800" s="17"/>
      <c r="Y800" s="17"/>
    </row>
    <row r="801" spans="1:25" ht="13" x14ac:dyDescent="0.15">
      <c r="A801" s="15"/>
      <c r="B801" s="26"/>
      <c r="C801" s="27"/>
      <c r="D801" s="26"/>
      <c r="E801" s="28"/>
      <c r="F801" s="29"/>
      <c r="G801" s="29"/>
      <c r="H801" s="30"/>
      <c r="I801" s="29"/>
      <c r="J801" s="29"/>
      <c r="K801" s="29"/>
      <c r="L801" s="29"/>
      <c r="M801" s="29"/>
      <c r="N801" s="29"/>
      <c r="O801" s="29"/>
      <c r="P801" s="29"/>
      <c r="Q801" s="29"/>
      <c r="R801" s="30"/>
      <c r="S801" s="84"/>
      <c r="T801" s="84"/>
      <c r="U801" s="31"/>
      <c r="V801" s="32"/>
      <c r="W801" s="33"/>
      <c r="X801" s="17"/>
      <c r="Y801" s="17"/>
    </row>
    <row r="802" spans="1:25" ht="13" x14ac:dyDescent="0.15">
      <c r="A802" s="15"/>
      <c r="B802" s="26"/>
      <c r="C802" s="27"/>
      <c r="D802" s="26"/>
      <c r="E802" s="28"/>
      <c r="F802" s="29"/>
      <c r="G802" s="29"/>
      <c r="H802" s="30"/>
      <c r="I802" s="29"/>
      <c r="J802" s="29"/>
      <c r="K802" s="29"/>
      <c r="L802" s="29"/>
      <c r="M802" s="29"/>
      <c r="N802" s="29"/>
      <c r="O802" s="29"/>
      <c r="P802" s="29"/>
      <c r="Q802" s="29"/>
      <c r="R802" s="30"/>
      <c r="S802" s="84"/>
      <c r="T802" s="84"/>
      <c r="U802" s="31"/>
      <c r="V802" s="32"/>
      <c r="W802" s="33"/>
      <c r="X802" s="17"/>
      <c r="Y802" s="17"/>
    </row>
    <row r="803" spans="1:25" ht="13" x14ac:dyDescent="0.15">
      <c r="A803" s="15"/>
      <c r="B803" s="26"/>
      <c r="C803" s="27"/>
      <c r="D803" s="26"/>
      <c r="E803" s="28"/>
      <c r="F803" s="29"/>
      <c r="G803" s="29"/>
      <c r="H803" s="30"/>
      <c r="I803" s="29"/>
      <c r="J803" s="29"/>
      <c r="K803" s="29"/>
      <c r="L803" s="29"/>
      <c r="M803" s="29"/>
      <c r="N803" s="29"/>
      <c r="O803" s="29"/>
      <c r="P803" s="29"/>
      <c r="Q803" s="29"/>
      <c r="R803" s="30"/>
      <c r="S803" s="84"/>
      <c r="T803" s="84"/>
      <c r="U803" s="31"/>
      <c r="V803" s="32"/>
      <c r="W803" s="33"/>
      <c r="X803" s="17"/>
      <c r="Y803" s="17"/>
    </row>
    <row r="804" spans="1:25" ht="13" x14ac:dyDescent="0.15">
      <c r="A804" s="15"/>
      <c r="B804" s="26"/>
      <c r="C804" s="27"/>
      <c r="D804" s="26"/>
      <c r="E804" s="28"/>
      <c r="F804" s="29"/>
      <c r="G804" s="29"/>
      <c r="H804" s="30"/>
      <c r="I804" s="29"/>
      <c r="J804" s="29"/>
      <c r="K804" s="29"/>
      <c r="L804" s="29"/>
      <c r="M804" s="29"/>
      <c r="N804" s="29"/>
      <c r="O804" s="29"/>
      <c r="P804" s="29"/>
      <c r="Q804" s="29"/>
      <c r="R804" s="30"/>
      <c r="S804" s="84"/>
      <c r="T804" s="84"/>
      <c r="U804" s="31"/>
      <c r="V804" s="32"/>
      <c r="W804" s="33"/>
      <c r="X804" s="17"/>
      <c r="Y804" s="17"/>
    </row>
    <row r="805" spans="1:25" ht="13" x14ac:dyDescent="0.15">
      <c r="A805" s="15"/>
      <c r="B805" s="26"/>
      <c r="C805" s="27"/>
      <c r="D805" s="26"/>
      <c r="E805" s="28"/>
      <c r="F805" s="29"/>
      <c r="G805" s="29"/>
      <c r="H805" s="30"/>
      <c r="I805" s="29"/>
      <c r="J805" s="29"/>
      <c r="K805" s="29"/>
      <c r="L805" s="29"/>
      <c r="M805" s="29"/>
      <c r="N805" s="29"/>
      <c r="O805" s="29"/>
      <c r="P805" s="29"/>
      <c r="Q805" s="29"/>
      <c r="R805" s="30"/>
      <c r="S805" s="84"/>
      <c r="T805" s="84"/>
      <c r="U805" s="31"/>
      <c r="V805" s="32"/>
      <c r="W805" s="33"/>
      <c r="X805" s="17"/>
      <c r="Y805" s="17"/>
    </row>
    <row r="806" spans="1:25" ht="13" x14ac:dyDescent="0.15">
      <c r="A806" s="15"/>
      <c r="B806" s="26"/>
      <c r="C806" s="27"/>
      <c r="D806" s="26"/>
      <c r="E806" s="28"/>
      <c r="F806" s="29"/>
      <c r="G806" s="29"/>
      <c r="H806" s="30"/>
      <c r="I806" s="29"/>
      <c r="J806" s="29"/>
      <c r="K806" s="29"/>
      <c r="L806" s="29"/>
      <c r="M806" s="29"/>
      <c r="N806" s="29"/>
      <c r="O806" s="29"/>
      <c r="P806" s="29"/>
      <c r="Q806" s="29"/>
      <c r="R806" s="30"/>
      <c r="S806" s="84"/>
      <c r="T806" s="84"/>
      <c r="U806" s="31"/>
      <c r="V806" s="32"/>
      <c r="W806" s="33"/>
      <c r="X806" s="17"/>
      <c r="Y806" s="17"/>
    </row>
    <row r="807" spans="1:25" ht="13" x14ac:dyDescent="0.15">
      <c r="A807" s="15"/>
      <c r="B807" s="26"/>
      <c r="C807" s="27"/>
      <c r="D807" s="26"/>
      <c r="E807" s="28"/>
      <c r="F807" s="29"/>
      <c r="G807" s="29"/>
      <c r="H807" s="30"/>
      <c r="I807" s="29"/>
      <c r="J807" s="29"/>
      <c r="K807" s="29"/>
      <c r="L807" s="29"/>
      <c r="M807" s="29"/>
      <c r="N807" s="29"/>
      <c r="O807" s="29"/>
      <c r="P807" s="29"/>
      <c r="Q807" s="29"/>
      <c r="R807" s="30"/>
      <c r="S807" s="84"/>
      <c r="T807" s="84"/>
      <c r="U807" s="31"/>
      <c r="V807" s="32"/>
      <c r="W807" s="33"/>
      <c r="X807" s="17"/>
      <c r="Y807" s="17"/>
    </row>
    <row r="808" spans="1:25" ht="13" x14ac:dyDescent="0.15">
      <c r="A808" s="15"/>
      <c r="B808" s="26"/>
      <c r="C808" s="27"/>
      <c r="D808" s="26"/>
      <c r="E808" s="28"/>
      <c r="F808" s="29"/>
      <c r="G808" s="29"/>
      <c r="H808" s="30"/>
      <c r="I808" s="29"/>
      <c r="J808" s="29"/>
      <c r="K808" s="29"/>
      <c r="L808" s="29"/>
      <c r="M808" s="29"/>
      <c r="N808" s="29"/>
      <c r="O808" s="29"/>
      <c r="P808" s="29"/>
      <c r="Q808" s="29"/>
      <c r="R808" s="30"/>
      <c r="S808" s="84"/>
      <c r="T808" s="84"/>
      <c r="U808" s="31"/>
      <c r="V808" s="32"/>
      <c r="W808" s="33"/>
      <c r="X808" s="17"/>
      <c r="Y808" s="17"/>
    </row>
    <row r="809" spans="1:25" ht="13" x14ac:dyDescent="0.15">
      <c r="A809" s="15"/>
      <c r="B809" s="26"/>
      <c r="C809" s="27"/>
      <c r="D809" s="26"/>
      <c r="E809" s="28"/>
      <c r="F809" s="29"/>
      <c r="G809" s="29"/>
      <c r="H809" s="30"/>
      <c r="I809" s="29"/>
      <c r="J809" s="29"/>
      <c r="K809" s="29"/>
      <c r="L809" s="29"/>
      <c r="M809" s="29"/>
      <c r="N809" s="29"/>
      <c r="O809" s="29"/>
      <c r="P809" s="29"/>
      <c r="Q809" s="29"/>
      <c r="R809" s="30"/>
      <c r="S809" s="84"/>
      <c r="T809" s="84"/>
      <c r="U809" s="31"/>
      <c r="V809" s="32"/>
      <c r="W809" s="33"/>
      <c r="X809" s="17"/>
      <c r="Y809" s="17"/>
    </row>
    <row r="810" spans="1:25" ht="13" x14ac:dyDescent="0.15">
      <c r="A810" s="15"/>
      <c r="B810" s="26"/>
      <c r="C810" s="27"/>
      <c r="D810" s="26"/>
      <c r="E810" s="28"/>
      <c r="F810" s="29"/>
      <c r="G810" s="29"/>
      <c r="H810" s="30"/>
      <c r="I810" s="29"/>
      <c r="J810" s="29"/>
      <c r="K810" s="29"/>
      <c r="L810" s="29"/>
      <c r="M810" s="29"/>
      <c r="N810" s="29"/>
      <c r="O810" s="29"/>
      <c r="P810" s="29"/>
      <c r="Q810" s="29"/>
      <c r="R810" s="30"/>
      <c r="S810" s="84"/>
      <c r="T810" s="84"/>
      <c r="U810" s="31"/>
      <c r="V810" s="32"/>
      <c r="W810" s="33"/>
      <c r="X810" s="17"/>
      <c r="Y810" s="17"/>
    </row>
    <row r="811" spans="1:25" ht="13" x14ac:dyDescent="0.15">
      <c r="A811" s="15"/>
      <c r="B811" s="26"/>
      <c r="C811" s="27"/>
      <c r="D811" s="26"/>
      <c r="E811" s="28"/>
      <c r="F811" s="29"/>
      <c r="G811" s="29"/>
      <c r="H811" s="30"/>
      <c r="I811" s="29"/>
      <c r="J811" s="29"/>
      <c r="K811" s="29"/>
      <c r="L811" s="29"/>
      <c r="M811" s="29"/>
      <c r="N811" s="29"/>
      <c r="O811" s="29"/>
      <c r="P811" s="29"/>
      <c r="Q811" s="29"/>
      <c r="R811" s="30"/>
      <c r="S811" s="84"/>
      <c r="T811" s="84"/>
      <c r="U811" s="31"/>
      <c r="V811" s="32"/>
      <c r="W811" s="33"/>
      <c r="X811" s="17"/>
      <c r="Y811" s="17"/>
    </row>
    <row r="812" spans="1:25" ht="13" x14ac:dyDescent="0.15">
      <c r="A812" s="15"/>
      <c r="B812" s="26"/>
      <c r="C812" s="27"/>
      <c r="D812" s="26"/>
      <c r="E812" s="28"/>
      <c r="F812" s="29"/>
      <c r="G812" s="29"/>
      <c r="H812" s="30"/>
      <c r="I812" s="29"/>
      <c r="J812" s="29"/>
      <c r="K812" s="29"/>
      <c r="L812" s="29"/>
      <c r="M812" s="29"/>
      <c r="N812" s="29"/>
      <c r="O812" s="29"/>
      <c r="P812" s="29"/>
      <c r="Q812" s="29"/>
      <c r="R812" s="30"/>
      <c r="S812" s="84"/>
      <c r="T812" s="84"/>
      <c r="U812" s="31"/>
      <c r="V812" s="32"/>
      <c r="W812" s="33"/>
      <c r="X812" s="17"/>
      <c r="Y812" s="17"/>
    </row>
    <row r="813" spans="1:25" ht="13" x14ac:dyDescent="0.15">
      <c r="A813" s="15"/>
      <c r="B813" s="26"/>
      <c r="C813" s="27"/>
      <c r="D813" s="26"/>
      <c r="E813" s="28"/>
      <c r="F813" s="29"/>
      <c r="G813" s="29"/>
      <c r="H813" s="30"/>
      <c r="I813" s="29"/>
      <c r="J813" s="29"/>
      <c r="K813" s="29"/>
      <c r="L813" s="29"/>
      <c r="M813" s="29"/>
      <c r="N813" s="29"/>
      <c r="O813" s="29"/>
      <c r="P813" s="29"/>
      <c r="Q813" s="29"/>
      <c r="R813" s="30"/>
      <c r="S813" s="84"/>
      <c r="T813" s="84"/>
      <c r="U813" s="31"/>
      <c r="V813" s="32"/>
      <c r="W813" s="33"/>
      <c r="X813" s="17"/>
      <c r="Y813" s="17"/>
    </row>
    <row r="814" spans="1:25" ht="13" x14ac:dyDescent="0.15">
      <c r="A814" s="15"/>
      <c r="B814" s="26"/>
      <c r="C814" s="27"/>
      <c r="D814" s="26"/>
      <c r="E814" s="28"/>
      <c r="F814" s="29"/>
      <c r="G814" s="29"/>
      <c r="H814" s="30"/>
      <c r="I814" s="29"/>
      <c r="J814" s="29"/>
      <c r="K814" s="29"/>
      <c r="L814" s="29"/>
      <c r="M814" s="29"/>
      <c r="N814" s="29"/>
      <c r="O814" s="29"/>
      <c r="P814" s="29"/>
      <c r="Q814" s="29"/>
      <c r="R814" s="30"/>
      <c r="S814" s="84"/>
      <c r="T814" s="84"/>
      <c r="U814" s="31"/>
      <c r="V814" s="32"/>
      <c r="W814" s="33"/>
      <c r="X814" s="17"/>
      <c r="Y814" s="17"/>
    </row>
    <row r="815" spans="1:25" ht="13" x14ac:dyDescent="0.15">
      <c r="A815" s="15"/>
      <c r="B815" s="26"/>
      <c r="C815" s="27"/>
      <c r="D815" s="26"/>
      <c r="E815" s="28"/>
      <c r="F815" s="29"/>
      <c r="G815" s="29"/>
      <c r="H815" s="30"/>
      <c r="I815" s="29"/>
      <c r="J815" s="29"/>
      <c r="K815" s="29"/>
      <c r="L815" s="29"/>
      <c r="M815" s="29"/>
      <c r="N815" s="29"/>
      <c r="O815" s="29"/>
      <c r="P815" s="29"/>
      <c r="Q815" s="29"/>
      <c r="R815" s="30"/>
      <c r="S815" s="84"/>
      <c r="T815" s="84"/>
      <c r="U815" s="31"/>
      <c r="V815" s="32"/>
      <c r="W815" s="33"/>
      <c r="X815" s="17"/>
      <c r="Y815" s="17"/>
    </row>
    <row r="816" spans="1:25" ht="13" x14ac:dyDescent="0.15">
      <c r="A816" s="15"/>
      <c r="B816" s="26"/>
      <c r="C816" s="27"/>
      <c r="D816" s="26"/>
      <c r="E816" s="28"/>
      <c r="F816" s="29"/>
      <c r="G816" s="29"/>
      <c r="H816" s="30"/>
      <c r="I816" s="29"/>
      <c r="J816" s="29"/>
      <c r="K816" s="29"/>
      <c r="L816" s="29"/>
      <c r="M816" s="29"/>
      <c r="N816" s="29"/>
      <c r="O816" s="29"/>
      <c r="P816" s="29"/>
      <c r="Q816" s="29"/>
      <c r="R816" s="30"/>
      <c r="S816" s="84"/>
      <c r="T816" s="84"/>
      <c r="U816" s="31"/>
      <c r="V816" s="32"/>
      <c r="W816" s="33"/>
      <c r="X816" s="17"/>
      <c r="Y816" s="17"/>
    </row>
    <row r="817" spans="1:25" ht="13" x14ac:dyDescent="0.15">
      <c r="A817" s="15"/>
      <c r="B817" s="26"/>
      <c r="C817" s="27"/>
      <c r="D817" s="26"/>
      <c r="E817" s="28"/>
      <c r="F817" s="29"/>
      <c r="G817" s="29"/>
      <c r="H817" s="30"/>
      <c r="I817" s="29"/>
      <c r="J817" s="29"/>
      <c r="K817" s="29"/>
      <c r="L817" s="29"/>
      <c r="M817" s="29"/>
      <c r="N817" s="29"/>
      <c r="O817" s="29"/>
      <c r="P817" s="29"/>
      <c r="Q817" s="29"/>
      <c r="R817" s="30"/>
      <c r="S817" s="84"/>
      <c r="T817" s="84"/>
      <c r="U817" s="31"/>
      <c r="V817" s="32"/>
      <c r="W817" s="33"/>
      <c r="X817" s="17"/>
      <c r="Y817" s="17"/>
    </row>
    <row r="818" spans="1:25" ht="13" x14ac:dyDescent="0.15">
      <c r="A818" s="15"/>
      <c r="B818" s="26"/>
      <c r="C818" s="27"/>
      <c r="D818" s="26"/>
      <c r="E818" s="28"/>
      <c r="F818" s="29"/>
      <c r="G818" s="29"/>
      <c r="H818" s="30"/>
      <c r="I818" s="29"/>
      <c r="J818" s="29"/>
      <c r="K818" s="29"/>
      <c r="L818" s="29"/>
      <c r="M818" s="29"/>
      <c r="N818" s="29"/>
      <c r="O818" s="29"/>
      <c r="P818" s="29"/>
      <c r="Q818" s="29"/>
      <c r="R818" s="30"/>
      <c r="S818" s="84"/>
      <c r="T818" s="84"/>
      <c r="U818" s="31"/>
      <c r="V818" s="32"/>
      <c r="W818" s="33"/>
      <c r="X818" s="17"/>
      <c r="Y818" s="17"/>
    </row>
    <row r="819" spans="1:25" ht="13" x14ac:dyDescent="0.15">
      <c r="A819" s="15"/>
      <c r="B819" s="26"/>
      <c r="C819" s="27"/>
      <c r="D819" s="26"/>
      <c r="E819" s="28"/>
      <c r="F819" s="29"/>
      <c r="G819" s="29"/>
      <c r="H819" s="30"/>
      <c r="I819" s="29"/>
      <c r="J819" s="29"/>
      <c r="K819" s="29"/>
      <c r="L819" s="29"/>
      <c r="M819" s="29"/>
      <c r="N819" s="29"/>
      <c r="O819" s="29"/>
      <c r="P819" s="29"/>
      <c r="Q819" s="29"/>
      <c r="R819" s="30"/>
      <c r="S819" s="84"/>
      <c r="T819" s="84"/>
      <c r="U819" s="31"/>
      <c r="V819" s="32"/>
      <c r="W819" s="33"/>
      <c r="X819" s="17"/>
      <c r="Y819" s="17"/>
    </row>
    <row r="820" spans="1:25" ht="13" x14ac:dyDescent="0.15">
      <c r="A820" s="15"/>
      <c r="B820" s="26"/>
      <c r="C820" s="27"/>
      <c r="D820" s="26"/>
      <c r="E820" s="28"/>
      <c r="F820" s="29"/>
      <c r="G820" s="29"/>
      <c r="H820" s="30"/>
      <c r="I820" s="29"/>
      <c r="J820" s="29"/>
      <c r="K820" s="29"/>
      <c r="L820" s="29"/>
      <c r="M820" s="29"/>
      <c r="N820" s="29"/>
      <c r="O820" s="29"/>
      <c r="P820" s="29"/>
      <c r="Q820" s="29"/>
      <c r="R820" s="30"/>
      <c r="S820" s="84"/>
      <c r="T820" s="84"/>
      <c r="U820" s="31"/>
      <c r="V820" s="32"/>
      <c r="W820" s="33"/>
      <c r="X820" s="17"/>
      <c r="Y820" s="17"/>
    </row>
    <row r="821" spans="1:25" ht="13" x14ac:dyDescent="0.15">
      <c r="A821" s="15"/>
      <c r="B821" s="26"/>
      <c r="C821" s="27"/>
      <c r="D821" s="26"/>
      <c r="E821" s="28"/>
      <c r="F821" s="29"/>
      <c r="G821" s="29"/>
      <c r="H821" s="30"/>
      <c r="I821" s="29"/>
      <c r="J821" s="29"/>
      <c r="K821" s="29"/>
      <c r="L821" s="29"/>
      <c r="M821" s="29"/>
      <c r="N821" s="29"/>
      <c r="O821" s="29"/>
      <c r="P821" s="29"/>
      <c r="Q821" s="29"/>
      <c r="R821" s="30"/>
      <c r="S821" s="84"/>
      <c r="T821" s="84"/>
      <c r="U821" s="31"/>
      <c r="V821" s="32"/>
      <c r="W821" s="33"/>
      <c r="X821" s="17"/>
      <c r="Y821" s="17"/>
    </row>
    <row r="822" spans="1:25" ht="13" x14ac:dyDescent="0.15">
      <c r="A822" s="15"/>
      <c r="B822" s="26"/>
      <c r="C822" s="27"/>
      <c r="D822" s="26"/>
      <c r="E822" s="28"/>
      <c r="F822" s="29"/>
      <c r="G822" s="29"/>
      <c r="H822" s="30"/>
      <c r="I822" s="29"/>
      <c r="J822" s="29"/>
      <c r="K822" s="29"/>
      <c r="L822" s="29"/>
      <c r="M822" s="29"/>
      <c r="N822" s="29"/>
      <c r="O822" s="29"/>
      <c r="P822" s="29"/>
      <c r="Q822" s="29"/>
      <c r="R822" s="30"/>
      <c r="S822" s="84"/>
      <c r="T822" s="84"/>
      <c r="U822" s="31"/>
      <c r="V822" s="32"/>
      <c r="W822" s="33"/>
      <c r="X822" s="17"/>
      <c r="Y822" s="17"/>
    </row>
    <row r="823" spans="1:25" ht="13" x14ac:dyDescent="0.15">
      <c r="A823" s="15"/>
      <c r="B823" s="26"/>
      <c r="C823" s="27"/>
      <c r="D823" s="26"/>
      <c r="E823" s="28"/>
      <c r="F823" s="29"/>
      <c r="G823" s="29"/>
      <c r="H823" s="30"/>
      <c r="I823" s="29"/>
      <c r="J823" s="29"/>
      <c r="K823" s="29"/>
      <c r="L823" s="29"/>
      <c r="M823" s="29"/>
      <c r="N823" s="29"/>
      <c r="O823" s="29"/>
      <c r="P823" s="29"/>
      <c r="Q823" s="29"/>
      <c r="R823" s="30"/>
      <c r="S823" s="84"/>
      <c r="T823" s="84"/>
      <c r="U823" s="31"/>
      <c r="V823" s="32"/>
      <c r="W823" s="33"/>
      <c r="X823" s="17"/>
      <c r="Y823" s="17"/>
    </row>
    <row r="824" spans="1:25" ht="13" x14ac:dyDescent="0.15">
      <c r="A824" s="15"/>
      <c r="B824" s="26"/>
      <c r="C824" s="27"/>
      <c r="D824" s="26"/>
      <c r="E824" s="28"/>
      <c r="F824" s="29"/>
      <c r="G824" s="29"/>
      <c r="H824" s="30"/>
      <c r="I824" s="29"/>
      <c r="J824" s="29"/>
      <c r="K824" s="29"/>
      <c r="L824" s="29"/>
      <c r="M824" s="29"/>
      <c r="N824" s="29"/>
      <c r="O824" s="29"/>
      <c r="P824" s="29"/>
      <c r="Q824" s="29"/>
      <c r="R824" s="30"/>
      <c r="S824" s="84"/>
      <c r="T824" s="84"/>
      <c r="U824" s="31"/>
      <c r="V824" s="32"/>
      <c r="W824" s="33"/>
      <c r="X824" s="17"/>
      <c r="Y824" s="17"/>
    </row>
    <row r="825" spans="1:25" ht="13" x14ac:dyDescent="0.15">
      <c r="A825" s="15"/>
      <c r="B825" s="26"/>
      <c r="C825" s="27"/>
      <c r="D825" s="26"/>
      <c r="E825" s="28"/>
      <c r="F825" s="29"/>
      <c r="G825" s="29"/>
      <c r="H825" s="30"/>
      <c r="I825" s="29"/>
      <c r="J825" s="29"/>
      <c r="K825" s="29"/>
      <c r="L825" s="29"/>
      <c r="M825" s="29"/>
      <c r="N825" s="29"/>
      <c r="O825" s="29"/>
      <c r="P825" s="29"/>
      <c r="Q825" s="29"/>
      <c r="R825" s="30"/>
      <c r="S825" s="84"/>
      <c r="T825" s="84"/>
      <c r="U825" s="31"/>
      <c r="V825" s="32"/>
      <c r="W825" s="33"/>
      <c r="X825" s="17"/>
      <c r="Y825" s="17"/>
    </row>
    <row r="826" spans="1:25" ht="13" x14ac:dyDescent="0.15">
      <c r="A826" s="15"/>
      <c r="B826" s="26"/>
      <c r="C826" s="27"/>
      <c r="D826" s="26"/>
      <c r="E826" s="28"/>
      <c r="F826" s="29"/>
      <c r="G826" s="29"/>
      <c r="H826" s="30"/>
      <c r="I826" s="29"/>
      <c r="J826" s="29"/>
      <c r="K826" s="29"/>
      <c r="L826" s="29"/>
      <c r="M826" s="29"/>
      <c r="N826" s="29"/>
      <c r="O826" s="29"/>
      <c r="P826" s="29"/>
      <c r="Q826" s="29"/>
      <c r="R826" s="30"/>
      <c r="S826" s="84"/>
      <c r="T826" s="84"/>
      <c r="U826" s="31"/>
      <c r="V826" s="32"/>
      <c r="W826" s="33"/>
      <c r="X826" s="17"/>
      <c r="Y826" s="17"/>
    </row>
    <row r="827" spans="1:25" ht="13" x14ac:dyDescent="0.15">
      <c r="A827" s="15"/>
      <c r="B827" s="26"/>
      <c r="C827" s="27"/>
      <c r="D827" s="26"/>
      <c r="E827" s="28"/>
      <c r="F827" s="29"/>
      <c r="G827" s="29"/>
      <c r="H827" s="30"/>
      <c r="I827" s="29"/>
      <c r="J827" s="29"/>
      <c r="K827" s="29"/>
      <c r="L827" s="29"/>
      <c r="M827" s="29"/>
      <c r="N827" s="29"/>
      <c r="O827" s="29"/>
      <c r="P827" s="29"/>
      <c r="Q827" s="29"/>
      <c r="R827" s="30"/>
      <c r="S827" s="84"/>
      <c r="T827" s="84"/>
      <c r="U827" s="31"/>
      <c r="V827" s="32"/>
      <c r="W827" s="33"/>
      <c r="X827" s="17"/>
      <c r="Y827" s="17"/>
    </row>
    <row r="828" spans="1:25" ht="13" x14ac:dyDescent="0.15">
      <c r="A828" s="15"/>
      <c r="B828" s="26"/>
      <c r="C828" s="27"/>
      <c r="D828" s="26"/>
      <c r="E828" s="28"/>
      <c r="F828" s="29"/>
      <c r="G828" s="29"/>
      <c r="H828" s="30"/>
      <c r="I828" s="29"/>
      <c r="J828" s="29"/>
      <c r="K828" s="29"/>
      <c r="L828" s="29"/>
      <c r="M828" s="29"/>
      <c r="N828" s="29"/>
      <c r="O828" s="29"/>
      <c r="P828" s="29"/>
      <c r="Q828" s="29"/>
      <c r="R828" s="30"/>
      <c r="S828" s="84"/>
      <c r="T828" s="84"/>
      <c r="U828" s="31"/>
      <c r="V828" s="32"/>
      <c r="W828" s="33"/>
      <c r="X828" s="17"/>
      <c r="Y828" s="17"/>
    </row>
    <row r="829" spans="1:25" ht="13" x14ac:dyDescent="0.15">
      <c r="A829" s="15"/>
      <c r="B829" s="26"/>
      <c r="C829" s="27"/>
      <c r="D829" s="26"/>
      <c r="E829" s="28"/>
      <c r="F829" s="29"/>
      <c r="G829" s="29"/>
      <c r="H829" s="30"/>
      <c r="I829" s="29"/>
      <c r="J829" s="29"/>
      <c r="K829" s="29"/>
      <c r="L829" s="29"/>
      <c r="M829" s="29"/>
      <c r="N829" s="29"/>
      <c r="O829" s="29"/>
      <c r="P829" s="29"/>
      <c r="Q829" s="29"/>
      <c r="R829" s="30"/>
      <c r="S829" s="84"/>
      <c r="T829" s="84"/>
      <c r="U829" s="31"/>
      <c r="V829" s="32"/>
      <c r="W829" s="33"/>
      <c r="X829" s="17"/>
      <c r="Y829" s="17"/>
    </row>
    <row r="830" spans="1:25" ht="13" x14ac:dyDescent="0.15">
      <c r="A830" s="15"/>
      <c r="B830" s="26"/>
      <c r="C830" s="27"/>
      <c r="D830" s="26"/>
      <c r="E830" s="28"/>
      <c r="F830" s="29"/>
      <c r="G830" s="29"/>
      <c r="H830" s="30"/>
      <c r="I830" s="29"/>
      <c r="J830" s="29"/>
      <c r="K830" s="29"/>
      <c r="L830" s="29"/>
      <c r="M830" s="29"/>
      <c r="N830" s="29"/>
      <c r="O830" s="29"/>
      <c r="P830" s="29"/>
      <c r="Q830" s="29"/>
      <c r="R830" s="30"/>
      <c r="S830" s="84"/>
      <c r="T830" s="84"/>
      <c r="U830" s="31"/>
      <c r="V830" s="32"/>
      <c r="W830" s="33"/>
      <c r="X830" s="17"/>
      <c r="Y830" s="17"/>
    </row>
    <row r="831" spans="1:25" ht="13" x14ac:dyDescent="0.15">
      <c r="A831" s="15"/>
      <c r="B831" s="26"/>
      <c r="C831" s="27"/>
      <c r="D831" s="26"/>
      <c r="E831" s="28"/>
      <c r="F831" s="29"/>
      <c r="G831" s="29"/>
      <c r="H831" s="30"/>
      <c r="I831" s="29"/>
      <c r="J831" s="29"/>
      <c r="K831" s="29"/>
      <c r="L831" s="29"/>
      <c r="M831" s="29"/>
      <c r="N831" s="29"/>
      <c r="O831" s="29"/>
      <c r="P831" s="29"/>
      <c r="Q831" s="29"/>
      <c r="R831" s="30"/>
      <c r="S831" s="84"/>
      <c r="T831" s="84"/>
      <c r="U831" s="31"/>
      <c r="V831" s="32"/>
      <c r="W831" s="33"/>
      <c r="X831" s="17"/>
      <c r="Y831" s="17"/>
    </row>
    <row r="832" spans="1:25" ht="13" x14ac:dyDescent="0.15">
      <c r="A832" s="15"/>
      <c r="B832" s="26"/>
      <c r="C832" s="27"/>
      <c r="D832" s="26"/>
      <c r="E832" s="28"/>
      <c r="F832" s="29"/>
      <c r="G832" s="29"/>
      <c r="H832" s="30"/>
      <c r="I832" s="29"/>
      <c r="J832" s="29"/>
      <c r="K832" s="29"/>
      <c r="L832" s="29"/>
      <c r="M832" s="29"/>
      <c r="N832" s="29"/>
      <c r="O832" s="29"/>
      <c r="P832" s="29"/>
      <c r="Q832" s="29"/>
      <c r="R832" s="30"/>
      <c r="S832" s="84"/>
      <c r="T832" s="84"/>
      <c r="U832" s="31"/>
      <c r="V832" s="32"/>
      <c r="W832" s="33"/>
      <c r="X832" s="17"/>
      <c r="Y832" s="17"/>
    </row>
    <row r="833" spans="1:25" ht="13" x14ac:dyDescent="0.15">
      <c r="A833" s="15"/>
      <c r="B833" s="26"/>
      <c r="C833" s="27"/>
      <c r="D833" s="26"/>
      <c r="E833" s="28"/>
      <c r="F833" s="29"/>
      <c r="G833" s="29"/>
      <c r="H833" s="30"/>
      <c r="I833" s="29"/>
      <c r="J833" s="29"/>
      <c r="K833" s="29"/>
      <c r="L833" s="29"/>
      <c r="M833" s="29"/>
      <c r="N833" s="29"/>
      <c r="O833" s="29"/>
      <c r="P833" s="29"/>
      <c r="Q833" s="29"/>
      <c r="R833" s="30"/>
      <c r="S833" s="84"/>
      <c r="T833" s="84"/>
      <c r="U833" s="31"/>
      <c r="V833" s="32"/>
      <c r="W833" s="33"/>
      <c r="X833" s="17"/>
      <c r="Y833" s="17"/>
    </row>
    <row r="834" spans="1:25" ht="13" x14ac:dyDescent="0.15">
      <c r="A834" s="15"/>
      <c r="B834" s="26"/>
      <c r="C834" s="27"/>
      <c r="D834" s="26"/>
      <c r="E834" s="28"/>
      <c r="F834" s="29"/>
      <c r="G834" s="29"/>
      <c r="H834" s="30"/>
      <c r="I834" s="29"/>
      <c r="J834" s="29"/>
      <c r="K834" s="29"/>
      <c r="L834" s="29"/>
      <c r="M834" s="29"/>
      <c r="N834" s="29"/>
      <c r="O834" s="29"/>
      <c r="P834" s="29"/>
      <c r="Q834" s="29"/>
      <c r="R834" s="30"/>
      <c r="S834" s="84"/>
      <c r="T834" s="84"/>
      <c r="U834" s="31"/>
      <c r="V834" s="32"/>
      <c r="W834" s="33"/>
      <c r="X834" s="17"/>
      <c r="Y834" s="17"/>
    </row>
    <row r="835" spans="1:25" ht="13" x14ac:dyDescent="0.15">
      <c r="A835" s="15"/>
      <c r="B835" s="26"/>
      <c r="C835" s="27"/>
      <c r="D835" s="26"/>
      <c r="E835" s="28"/>
      <c r="F835" s="29"/>
      <c r="G835" s="29"/>
      <c r="H835" s="30"/>
      <c r="I835" s="29"/>
      <c r="J835" s="29"/>
      <c r="K835" s="29"/>
      <c r="L835" s="29"/>
      <c r="M835" s="29"/>
      <c r="N835" s="29"/>
      <c r="O835" s="29"/>
      <c r="P835" s="29"/>
      <c r="Q835" s="29"/>
      <c r="R835" s="30"/>
      <c r="S835" s="84"/>
      <c r="T835" s="84"/>
      <c r="U835" s="31"/>
      <c r="V835" s="32"/>
      <c r="W835" s="33"/>
      <c r="X835" s="17"/>
      <c r="Y835" s="17"/>
    </row>
    <row r="836" spans="1:25" ht="13" x14ac:dyDescent="0.15">
      <c r="A836" s="15"/>
      <c r="B836" s="26"/>
      <c r="C836" s="27"/>
      <c r="D836" s="26"/>
      <c r="E836" s="28"/>
      <c r="F836" s="29"/>
      <c r="G836" s="29"/>
      <c r="H836" s="30"/>
      <c r="I836" s="29"/>
      <c r="J836" s="29"/>
      <c r="K836" s="29"/>
      <c r="L836" s="29"/>
      <c r="M836" s="29"/>
      <c r="N836" s="29"/>
      <c r="O836" s="29"/>
      <c r="P836" s="29"/>
      <c r="Q836" s="29"/>
      <c r="R836" s="30"/>
      <c r="S836" s="84"/>
      <c r="T836" s="84"/>
      <c r="U836" s="31"/>
      <c r="V836" s="32"/>
      <c r="W836" s="33"/>
      <c r="X836" s="17"/>
      <c r="Y836" s="17"/>
    </row>
    <row r="837" spans="1:25" ht="13" x14ac:dyDescent="0.15">
      <c r="A837" s="15"/>
      <c r="B837" s="26"/>
      <c r="C837" s="27"/>
      <c r="D837" s="26"/>
      <c r="E837" s="28"/>
      <c r="F837" s="29"/>
      <c r="G837" s="29"/>
      <c r="H837" s="30"/>
      <c r="I837" s="29"/>
      <c r="J837" s="29"/>
      <c r="K837" s="29"/>
      <c r="L837" s="29"/>
      <c r="M837" s="29"/>
      <c r="N837" s="29"/>
      <c r="O837" s="29"/>
      <c r="P837" s="29"/>
      <c r="Q837" s="29"/>
      <c r="R837" s="30"/>
      <c r="S837" s="84"/>
      <c r="T837" s="84"/>
      <c r="U837" s="31"/>
      <c r="V837" s="32"/>
      <c r="W837" s="33"/>
      <c r="X837" s="17"/>
      <c r="Y837" s="17"/>
    </row>
    <row r="838" spans="1:25" ht="13" x14ac:dyDescent="0.15">
      <c r="A838" s="15"/>
      <c r="B838" s="26"/>
      <c r="C838" s="27"/>
      <c r="D838" s="26"/>
      <c r="E838" s="28"/>
      <c r="F838" s="29"/>
      <c r="G838" s="29"/>
      <c r="H838" s="30"/>
      <c r="I838" s="29"/>
      <c r="J838" s="29"/>
      <c r="K838" s="29"/>
      <c r="L838" s="29"/>
      <c r="M838" s="29"/>
      <c r="N838" s="29"/>
      <c r="O838" s="29"/>
      <c r="P838" s="29"/>
      <c r="Q838" s="29"/>
      <c r="R838" s="30"/>
      <c r="S838" s="84"/>
      <c r="T838" s="84"/>
      <c r="U838" s="31"/>
      <c r="V838" s="32"/>
      <c r="W838" s="33"/>
      <c r="X838" s="17"/>
      <c r="Y838" s="17"/>
    </row>
    <row r="839" spans="1:25" ht="13" x14ac:dyDescent="0.15">
      <c r="A839" s="15"/>
      <c r="B839" s="26"/>
      <c r="C839" s="27"/>
      <c r="D839" s="26"/>
      <c r="E839" s="28"/>
      <c r="F839" s="29"/>
      <c r="G839" s="29"/>
      <c r="H839" s="30"/>
      <c r="I839" s="29"/>
      <c r="J839" s="29"/>
      <c r="K839" s="29"/>
      <c r="L839" s="29"/>
      <c r="M839" s="29"/>
      <c r="N839" s="29"/>
      <c r="O839" s="29"/>
      <c r="P839" s="29"/>
      <c r="Q839" s="29"/>
      <c r="R839" s="30"/>
      <c r="S839" s="84"/>
      <c r="T839" s="84"/>
      <c r="U839" s="31"/>
      <c r="V839" s="32"/>
      <c r="W839" s="33"/>
      <c r="X839" s="17"/>
      <c r="Y839" s="17"/>
    </row>
    <row r="840" spans="1:25" ht="13" x14ac:dyDescent="0.15">
      <c r="A840" s="15"/>
      <c r="B840" s="26"/>
      <c r="C840" s="27"/>
      <c r="D840" s="26"/>
      <c r="E840" s="28"/>
      <c r="F840" s="29"/>
      <c r="G840" s="29"/>
      <c r="H840" s="30"/>
      <c r="I840" s="29"/>
      <c r="J840" s="29"/>
      <c r="K840" s="29"/>
      <c r="L840" s="29"/>
      <c r="M840" s="29"/>
      <c r="N840" s="29"/>
      <c r="O840" s="29"/>
      <c r="P840" s="29"/>
      <c r="Q840" s="29"/>
      <c r="R840" s="30"/>
      <c r="S840" s="84"/>
      <c r="T840" s="84"/>
      <c r="U840" s="31"/>
      <c r="V840" s="32"/>
      <c r="W840" s="33"/>
      <c r="X840" s="17"/>
      <c r="Y840" s="17"/>
    </row>
    <row r="841" spans="1:25" ht="13" x14ac:dyDescent="0.15">
      <c r="A841" s="15"/>
      <c r="B841" s="26"/>
      <c r="C841" s="27"/>
      <c r="D841" s="26"/>
      <c r="E841" s="28"/>
      <c r="F841" s="29"/>
      <c r="G841" s="29"/>
      <c r="H841" s="30"/>
      <c r="I841" s="29"/>
      <c r="J841" s="29"/>
      <c r="K841" s="29"/>
      <c r="L841" s="29"/>
      <c r="M841" s="29"/>
      <c r="N841" s="29"/>
      <c r="O841" s="29"/>
      <c r="P841" s="29"/>
      <c r="Q841" s="29"/>
      <c r="R841" s="30"/>
      <c r="S841" s="84"/>
      <c r="T841" s="84"/>
      <c r="U841" s="31"/>
      <c r="V841" s="32"/>
      <c r="W841" s="33"/>
      <c r="X841" s="17"/>
      <c r="Y841" s="17"/>
    </row>
    <row r="842" spans="1:25" ht="13" x14ac:dyDescent="0.15">
      <c r="A842" s="15"/>
      <c r="B842" s="26"/>
      <c r="C842" s="27"/>
      <c r="D842" s="26"/>
      <c r="E842" s="28"/>
      <c r="F842" s="29"/>
      <c r="G842" s="29"/>
      <c r="H842" s="30"/>
      <c r="I842" s="29"/>
      <c r="J842" s="29"/>
      <c r="K842" s="29"/>
      <c r="L842" s="29"/>
      <c r="M842" s="29"/>
      <c r="N842" s="29"/>
      <c r="O842" s="29"/>
      <c r="P842" s="29"/>
      <c r="Q842" s="29"/>
      <c r="R842" s="30"/>
      <c r="S842" s="84"/>
      <c r="T842" s="84"/>
      <c r="U842" s="31"/>
      <c r="V842" s="32"/>
      <c r="W842" s="33"/>
      <c r="X842" s="17"/>
      <c r="Y842" s="17"/>
    </row>
    <row r="843" spans="1:25" ht="13" x14ac:dyDescent="0.15">
      <c r="A843" s="15"/>
      <c r="B843" s="26"/>
      <c r="C843" s="27"/>
      <c r="D843" s="26"/>
      <c r="E843" s="28"/>
      <c r="F843" s="29"/>
      <c r="G843" s="29"/>
      <c r="H843" s="30"/>
      <c r="I843" s="29"/>
      <c r="J843" s="29"/>
      <c r="K843" s="29"/>
      <c r="L843" s="29"/>
      <c r="M843" s="29"/>
      <c r="N843" s="29"/>
      <c r="O843" s="29"/>
      <c r="P843" s="29"/>
      <c r="Q843" s="29"/>
      <c r="R843" s="30"/>
      <c r="S843" s="84"/>
      <c r="T843" s="84"/>
      <c r="U843" s="31"/>
      <c r="V843" s="32"/>
      <c r="W843" s="33"/>
      <c r="X843" s="17"/>
      <c r="Y843" s="17"/>
    </row>
    <row r="844" spans="1:25" ht="13" x14ac:dyDescent="0.15">
      <c r="A844" s="15"/>
      <c r="B844" s="26"/>
      <c r="C844" s="27"/>
      <c r="D844" s="26"/>
      <c r="E844" s="28"/>
      <c r="F844" s="29"/>
      <c r="G844" s="29"/>
      <c r="H844" s="30"/>
      <c r="I844" s="29"/>
      <c r="J844" s="29"/>
      <c r="K844" s="29"/>
      <c r="L844" s="29"/>
      <c r="M844" s="29"/>
      <c r="N844" s="29"/>
      <c r="O844" s="29"/>
      <c r="P844" s="29"/>
      <c r="Q844" s="29"/>
      <c r="R844" s="30"/>
      <c r="S844" s="84"/>
      <c r="T844" s="84"/>
      <c r="U844" s="31"/>
      <c r="V844" s="32"/>
      <c r="W844" s="33"/>
      <c r="X844" s="17"/>
      <c r="Y844" s="17"/>
    </row>
    <row r="845" spans="1:25" ht="13" x14ac:dyDescent="0.15">
      <c r="A845" s="15"/>
      <c r="B845" s="26"/>
      <c r="C845" s="27"/>
      <c r="D845" s="26"/>
      <c r="E845" s="28"/>
      <c r="F845" s="29"/>
      <c r="G845" s="29"/>
      <c r="H845" s="30"/>
      <c r="I845" s="29"/>
      <c r="J845" s="29"/>
      <c r="K845" s="29"/>
      <c r="L845" s="29"/>
      <c r="M845" s="29"/>
      <c r="N845" s="29"/>
      <c r="O845" s="29"/>
      <c r="P845" s="29"/>
      <c r="Q845" s="29"/>
      <c r="R845" s="30"/>
      <c r="S845" s="84"/>
      <c r="T845" s="84"/>
      <c r="U845" s="31"/>
      <c r="V845" s="32"/>
      <c r="W845" s="33"/>
      <c r="X845" s="17"/>
      <c r="Y845" s="17"/>
    </row>
    <row r="846" spans="1:25" ht="13" x14ac:dyDescent="0.15">
      <c r="A846" s="15"/>
      <c r="B846" s="26"/>
      <c r="C846" s="27"/>
      <c r="D846" s="26"/>
      <c r="E846" s="28"/>
      <c r="F846" s="29"/>
      <c r="G846" s="29"/>
      <c r="H846" s="30"/>
      <c r="I846" s="29"/>
      <c r="J846" s="29"/>
      <c r="K846" s="29"/>
      <c r="L846" s="29"/>
      <c r="M846" s="29"/>
      <c r="N846" s="29"/>
      <c r="O846" s="29"/>
      <c r="P846" s="29"/>
      <c r="Q846" s="29"/>
      <c r="R846" s="30"/>
      <c r="S846" s="84"/>
      <c r="T846" s="84"/>
      <c r="U846" s="31"/>
      <c r="V846" s="32"/>
      <c r="W846" s="33"/>
      <c r="X846" s="17"/>
      <c r="Y846" s="17"/>
    </row>
    <row r="847" spans="1:25" ht="13" x14ac:dyDescent="0.15">
      <c r="A847" s="15"/>
      <c r="B847" s="26"/>
      <c r="C847" s="27"/>
      <c r="D847" s="26"/>
      <c r="E847" s="28"/>
      <c r="F847" s="29"/>
      <c r="G847" s="29"/>
      <c r="H847" s="30"/>
      <c r="I847" s="29"/>
      <c r="J847" s="29"/>
      <c r="K847" s="29"/>
      <c r="L847" s="29"/>
      <c r="M847" s="29"/>
      <c r="N847" s="29"/>
      <c r="O847" s="29"/>
      <c r="P847" s="29"/>
      <c r="Q847" s="29"/>
      <c r="R847" s="30"/>
      <c r="S847" s="84"/>
      <c r="T847" s="84"/>
      <c r="U847" s="31"/>
      <c r="V847" s="32"/>
      <c r="W847" s="33"/>
      <c r="X847" s="17"/>
      <c r="Y847" s="17"/>
    </row>
    <row r="848" spans="1:25" ht="13" x14ac:dyDescent="0.15">
      <c r="A848" s="15"/>
      <c r="B848" s="26"/>
      <c r="C848" s="27"/>
      <c r="D848" s="26"/>
      <c r="E848" s="28"/>
      <c r="F848" s="29"/>
      <c r="G848" s="29"/>
      <c r="H848" s="30"/>
      <c r="I848" s="29"/>
      <c r="J848" s="29"/>
      <c r="K848" s="29"/>
      <c r="L848" s="29"/>
      <c r="M848" s="29"/>
      <c r="N848" s="29"/>
      <c r="O848" s="29"/>
      <c r="P848" s="29"/>
      <c r="Q848" s="29"/>
      <c r="R848" s="30"/>
      <c r="S848" s="84"/>
      <c r="T848" s="84"/>
      <c r="U848" s="31"/>
      <c r="V848" s="32"/>
      <c r="W848" s="33"/>
      <c r="X848" s="17"/>
      <c r="Y848" s="17"/>
    </row>
    <row r="849" spans="1:25" ht="13" x14ac:dyDescent="0.15">
      <c r="A849" s="15"/>
      <c r="B849" s="26"/>
      <c r="C849" s="27"/>
      <c r="D849" s="26"/>
      <c r="E849" s="28"/>
      <c r="F849" s="29"/>
      <c r="G849" s="29"/>
      <c r="H849" s="30"/>
      <c r="I849" s="29"/>
      <c r="J849" s="29"/>
      <c r="K849" s="29"/>
      <c r="L849" s="29"/>
      <c r="M849" s="29"/>
      <c r="N849" s="29"/>
      <c r="O849" s="29"/>
      <c r="P849" s="29"/>
      <c r="Q849" s="29"/>
      <c r="R849" s="30"/>
      <c r="S849" s="84"/>
      <c r="T849" s="84"/>
      <c r="U849" s="31"/>
      <c r="V849" s="32"/>
      <c r="W849" s="33"/>
      <c r="X849" s="17"/>
      <c r="Y849" s="17"/>
    </row>
    <row r="850" spans="1:25" ht="13" x14ac:dyDescent="0.15">
      <c r="A850" s="15"/>
      <c r="B850" s="26"/>
      <c r="C850" s="27"/>
      <c r="D850" s="26"/>
      <c r="E850" s="28"/>
      <c r="F850" s="29"/>
      <c r="G850" s="29"/>
      <c r="H850" s="30"/>
      <c r="I850" s="29"/>
      <c r="J850" s="29"/>
      <c r="K850" s="29"/>
      <c r="L850" s="29"/>
      <c r="M850" s="29"/>
      <c r="N850" s="29"/>
      <c r="O850" s="29"/>
      <c r="P850" s="29"/>
      <c r="Q850" s="29"/>
      <c r="R850" s="30"/>
      <c r="S850" s="84"/>
      <c r="T850" s="84"/>
      <c r="U850" s="31"/>
      <c r="V850" s="32"/>
      <c r="W850" s="33"/>
      <c r="X850" s="17"/>
      <c r="Y850" s="17"/>
    </row>
    <row r="851" spans="1:25" ht="13" x14ac:dyDescent="0.15">
      <c r="A851" s="15"/>
      <c r="B851" s="26"/>
      <c r="C851" s="27"/>
      <c r="D851" s="26"/>
      <c r="E851" s="28"/>
      <c r="F851" s="29"/>
      <c r="G851" s="29"/>
      <c r="H851" s="30"/>
      <c r="I851" s="29"/>
      <c r="J851" s="29"/>
      <c r="K851" s="29"/>
      <c r="L851" s="29"/>
      <c r="M851" s="29"/>
      <c r="N851" s="29"/>
      <c r="O851" s="29"/>
      <c r="P851" s="29"/>
      <c r="Q851" s="29"/>
      <c r="R851" s="30"/>
      <c r="S851" s="84"/>
      <c r="T851" s="84"/>
      <c r="U851" s="31"/>
      <c r="V851" s="32"/>
      <c r="W851" s="33"/>
      <c r="X851" s="17"/>
      <c r="Y851" s="17"/>
    </row>
    <row r="852" spans="1:25" ht="13" x14ac:dyDescent="0.15">
      <c r="A852" s="15"/>
      <c r="B852" s="26"/>
      <c r="C852" s="27"/>
      <c r="D852" s="26"/>
      <c r="E852" s="28"/>
      <c r="F852" s="29"/>
      <c r="G852" s="29"/>
      <c r="H852" s="30"/>
      <c r="I852" s="29"/>
      <c r="J852" s="29"/>
      <c r="K852" s="29"/>
      <c r="L852" s="29"/>
      <c r="M852" s="29"/>
      <c r="N852" s="29"/>
      <c r="O852" s="29"/>
      <c r="P852" s="29"/>
      <c r="Q852" s="29"/>
      <c r="R852" s="30"/>
      <c r="S852" s="84"/>
      <c r="T852" s="84"/>
      <c r="U852" s="31"/>
      <c r="V852" s="32"/>
      <c r="W852" s="33"/>
      <c r="X852" s="17"/>
      <c r="Y852" s="17"/>
    </row>
    <row r="853" spans="1:25" ht="13" x14ac:dyDescent="0.15">
      <c r="A853" s="15"/>
      <c r="B853" s="26"/>
      <c r="C853" s="27"/>
      <c r="D853" s="26"/>
      <c r="E853" s="28"/>
      <c r="F853" s="29"/>
      <c r="G853" s="29"/>
      <c r="H853" s="30"/>
      <c r="I853" s="29"/>
      <c r="J853" s="29"/>
      <c r="K853" s="29"/>
      <c r="L853" s="29"/>
      <c r="M853" s="29"/>
      <c r="N853" s="29"/>
      <c r="O853" s="29"/>
      <c r="P853" s="29"/>
      <c r="Q853" s="29"/>
      <c r="R853" s="30"/>
      <c r="S853" s="84"/>
      <c r="T853" s="84"/>
      <c r="U853" s="31"/>
      <c r="V853" s="32"/>
      <c r="W853" s="33"/>
      <c r="X853" s="17"/>
      <c r="Y853" s="17"/>
    </row>
    <row r="854" spans="1:25" ht="13" x14ac:dyDescent="0.15">
      <c r="A854" s="15"/>
      <c r="B854" s="26"/>
      <c r="C854" s="27"/>
      <c r="D854" s="26"/>
      <c r="E854" s="28"/>
      <c r="F854" s="29"/>
      <c r="G854" s="29"/>
      <c r="H854" s="30"/>
      <c r="I854" s="29"/>
      <c r="J854" s="29"/>
      <c r="K854" s="29"/>
      <c r="L854" s="29"/>
      <c r="M854" s="29"/>
      <c r="N854" s="29"/>
      <c r="O854" s="29"/>
      <c r="P854" s="29"/>
      <c r="Q854" s="29"/>
      <c r="R854" s="30"/>
      <c r="S854" s="84"/>
      <c r="T854" s="84"/>
      <c r="U854" s="31"/>
      <c r="V854" s="32"/>
      <c r="W854" s="33"/>
      <c r="X854" s="17"/>
      <c r="Y854" s="17"/>
    </row>
    <row r="855" spans="1:25" ht="13" x14ac:dyDescent="0.15">
      <c r="A855" s="15"/>
      <c r="B855" s="26"/>
      <c r="C855" s="27"/>
      <c r="D855" s="26"/>
      <c r="E855" s="28"/>
      <c r="F855" s="29"/>
      <c r="G855" s="29"/>
      <c r="H855" s="30"/>
      <c r="I855" s="29"/>
      <c r="J855" s="29"/>
      <c r="K855" s="29"/>
      <c r="L855" s="29"/>
      <c r="M855" s="29"/>
      <c r="N855" s="29"/>
      <c r="O855" s="29"/>
      <c r="P855" s="29"/>
      <c r="Q855" s="29"/>
      <c r="R855" s="30"/>
      <c r="S855" s="84"/>
      <c r="T855" s="84"/>
      <c r="U855" s="31"/>
      <c r="V855" s="32"/>
      <c r="W855" s="33"/>
      <c r="X855" s="17"/>
      <c r="Y855" s="17"/>
    </row>
    <row r="856" spans="1:25" ht="13" x14ac:dyDescent="0.15">
      <c r="A856" s="15"/>
      <c r="B856" s="26"/>
      <c r="C856" s="27"/>
      <c r="D856" s="26"/>
      <c r="E856" s="28"/>
      <c r="F856" s="29"/>
      <c r="G856" s="29"/>
      <c r="H856" s="30"/>
      <c r="I856" s="29"/>
      <c r="J856" s="29"/>
      <c r="K856" s="29"/>
      <c r="L856" s="29"/>
      <c r="M856" s="29"/>
      <c r="N856" s="29"/>
      <c r="O856" s="29"/>
      <c r="P856" s="29"/>
      <c r="Q856" s="29"/>
      <c r="R856" s="30"/>
      <c r="S856" s="84"/>
      <c r="T856" s="84"/>
      <c r="U856" s="31"/>
      <c r="V856" s="32"/>
      <c r="W856" s="33"/>
      <c r="X856" s="17"/>
      <c r="Y856" s="17"/>
    </row>
    <row r="857" spans="1:25" ht="13" x14ac:dyDescent="0.15">
      <c r="A857" s="15"/>
      <c r="B857" s="26"/>
      <c r="C857" s="27"/>
      <c r="D857" s="26"/>
      <c r="E857" s="28"/>
      <c r="F857" s="29"/>
      <c r="G857" s="29"/>
      <c r="H857" s="30"/>
      <c r="I857" s="29"/>
      <c r="J857" s="29"/>
      <c r="K857" s="29"/>
      <c r="L857" s="29"/>
      <c r="M857" s="29"/>
      <c r="N857" s="29"/>
      <c r="O857" s="29"/>
      <c r="P857" s="29"/>
      <c r="Q857" s="29"/>
      <c r="R857" s="30"/>
      <c r="S857" s="84"/>
      <c r="T857" s="84"/>
      <c r="U857" s="31"/>
      <c r="V857" s="32"/>
      <c r="W857" s="33"/>
      <c r="X857" s="17"/>
      <c r="Y857" s="17"/>
    </row>
    <row r="858" spans="1:25" ht="13" x14ac:dyDescent="0.15">
      <c r="A858" s="15"/>
      <c r="B858" s="26"/>
      <c r="C858" s="27"/>
      <c r="D858" s="26"/>
      <c r="E858" s="28"/>
      <c r="F858" s="29"/>
      <c r="G858" s="29"/>
      <c r="H858" s="30"/>
      <c r="I858" s="29"/>
      <c r="J858" s="29"/>
      <c r="K858" s="29"/>
      <c r="L858" s="29"/>
      <c r="M858" s="29"/>
      <c r="N858" s="29"/>
      <c r="O858" s="29"/>
      <c r="P858" s="29"/>
      <c r="Q858" s="29"/>
      <c r="R858" s="30"/>
      <c r="S858" s="84"/>
      <c r="T858" s="84"/>
      <c r="U858" s="31"/>
      <c r="V858" s="32"/>
      <c r="W858" s="33"/>
      <c r="X858" s="17"/>
      <c r="Y858" s="17"/>
    </row>
    <row r="859" spans="1:25" ht="13" x14ac:dyDescent="0.15">
      <c r="A859" s="15"/>
      <c r="B859" s="26"/>
      <c r="C859" s="27"/>
      <c r="D859" s="26"/>
      <c r="E859" s="28"/>
      <c r="F859" s="29"/>
      <c r="G859" s="29"/>
      <c r="H859" s="30"/>
      <c r="I859" s="29"/>
      <c r="J859" s="29"/>
      <c r="K859" s="29"/>
      <c r="L859" s="29"/>
      <c r="M859" s="29"/>
      <c r="N859" s="29"/>
      <c r="O859" s="29"/>
      <c r="P859" s="29"/>
      <c r="Q859" s="29"/>
      <c r="R859" s="30"/>
      <c r="S859" s="84"/>
      <c r="T859" s="84"/>
      <c r="U859" s="31"/>
      <c r="V859" s="32"/>
      <c r="W859" s="33"/>
      <c r="X859" s="17"/>
      <c r="Y859" s="17"/>
    </row>
    <row r="860" spans="1:25" ht="13" x14ac:dyDescent="0.15">
      <c r="A860" s="15"/>
      <c r="B860" s="26"/>
      <c r="C860" s="27"/>
      <c r="D860" s="26"/>
      <c r="E860" s="28"/>
      <c r="F860" s="29"/>
      <c r="G860" s="29"/>
      <c r="H860" s="30"/>
      <c r="I860" s="29"/>
      <c r="J860" s="29"/>
      <c r="K860" s="29"/>
      <c r="L860" s="29"/>
      <c r="M860" s="29"/>
      <c r="N860" s="29"/>
      <c r="O860" s="29"/>
      <c r="P860" s="29"/>
      <c r="Q860" s="29"/>
      <c r="R860" s="30"/>
      <c r="S860" s="84"/>
      <c r="T860" s="84"/>
      <c r="U860" s="31"/>
      <c r="V860" s="32"/>
      <c r="W860" s="33"/>
      <c r="X860" s="17"/>
      <c r="Y860" s="17"/>
    </row>
    <row r="861" spans="1:25" ht="13" x14ac:dyDescent="0.15">
      <c r="A861" s="15"/>
      <c r="B861" s="26"/>
      <c r="C861" s="27"/>
      <c r="D861" s="26"/>
      <c r="E861" s="28"/>
      <c r="F861" s="29"/>
      <c r="G861" s="29"/>
      <c r="H861" s="30"/>
      <c r="I861" s="29"/>
      <c r="J861" s="29"/>
      <c r="K861" s="29"/>
      <c r="L861" s="29"/>
      <c r="M861" s="29"/>
      <c r="N861" s="29"/>
      <c r="O861" s="29"/>
      <c r="P861" s="29"/>
      <c r="Q861" s="29"/>
      <c r="R861" s="30"/>
      <c r="S861" s="84"/>
      <c r="T861" s="84"/>
      <c r="U861" s="31"/>
      <c r="V861" s="32"/>
      <c r="W861" s="33"/>
      <c r="X861" s="17"/>
      <c r="Y861" s="17"/>
    </row>
    <row r="862" spans="1:25" ht="13" x14ac:dyDescent="0.15">
      <c r="A862" s="15"/>
      <c r="B862" s="26"/>
      <c r="C862" s="27"/>
      <c r="D862" s="26"/>
      <c r="E862" s="28"/>
      <c r="F862" s="29"/>
      <c r="G862" s="29"/>
      <c r="H862" s="30"/>
      <c r="I862" s="29"/>
      <c r="J862" s="29"/>
      <c r="K862" s="29"/>
      <c r="L862" s="29"/>
      <c r="M862" s="29"/>
      <c r="N862" s="29"/>
      <c r="O862" s="29"/>
      <c r="P862" s="29"/>
      <c r="Q862" s="29"/>
      <c r="R862" s="30"/>
      <c r="S862" s="84"/>
      <c r="T862" s="84"/>
      <c r="U862" s="31"/>
      <c r="V862" s="32"/>
      <c r="W862" s="33"/>
      <c r="X862" s="17"/>
      <c r="Y862" s="17"/>
    </row>
    <row r="863" spans="1:25" ht="13" x14ac:dyDescent="0.15">
      <c r="A863" s="15"/>
      <c r="B863" s="26"/>
      <c r="C863" s="27"/>
      <c r="D863" s="26"/>
      <c r="E863" s="28"/>
      <c r="F863" s="29"/>
      <c r="G863" s="29"/>
      <c r="H863" s="30"/>
      <c r="I863" s="29"/>
      <c r="J863" s="29"/>
      <c r="K863" s="29"/>
      <c r="L863" s="29"/>
      <c r="M863" s="29"/>
      <c r="N863" s="29"/>
      <c r="O863" s="29"/>
      <c r="P863" s="29"/>
      <c r="Q863" s="29"/>
      <c r="R863" s="30"/>
      <c r="S863" s="84"/>
      <c r="T863" s="84"/>
      <c r="U863" s="31"/>
      <c r="V863" s="32"/>
      <c r="W863" s="33"/>
      <c r="X863" s="17"/>
      <c r="Y863" s="17"/>
    </row>
    <row r="864" spans="1:25" ht="13" x14ac:dyDescent="0.15">
      <c r="A864" s="15"/>
      <c r="B864" s="26"/>
      <c r="C864" s="27"/>
      <c r="D864" s="26"/>
      <c r="E864" s="28"/>
      <c r="F864" s="29"/>
      <c r="G864" s="29"/>
      <c r="H864" s="30"/>
      <c r="I864" s="29"/>
      <c r="J864" s="29"/>
      <c r="K864" s="29"/>
      <c r="L864" s="29"/>
      <c r="M864" s="29"/>
      <c r="N864" s="29"/>
      <c r="O864" s="29"/>
      <c r="P864" s="29"/>
      <c r="Q864" s="29"/>
      <c r="R864" s="30"/>
      <c r="S864" s="84"/>
      <c r="T864" s="84"/>
      <c r="U864" s="31"/>
      <c r="V864" s="32"/>
      <c r="W864" s="33"/>
      <c r="X864" s="17"/>
      <c r="Y864" s="17"/>
    </row>
    <row r="865" spans="1:25" ht="13" x14ac:dyDescent="0.15">
      <c r="A865" s="15"/>
      <c r="B865" s="26"/>
      <c r="C865" s="27"/>
      <c r="D865" s="26"/>
      <c r="E865" s="28"/>
      <c r="F865" s="29"/>
      <c r="G865" s="29"/>
      <c r="H865" s="30"/>
      <c r="I865" s="29"/>
      <c r="J865" s="29"/>
      <c r="K865" s="29"/>
      <c r="L865" s="29"/>
      <c r="M865" s="29"/>
      <c r="N865" s="29"/>
      <c r="O865" s="29"/>
      <c r="P865" s="29"/>
      <c r="Q865" s="29"/>
      <c r="R865" s="30"/>
      <c r="S865" s="84"/>
      <c r="T865" s="84"/>
      <c r="U865" s="31"/>
      <c r="V865" s="32"/>
      <c r="W865" s="33"/>
      <c r="X865" s="17"/>
      <c r="Y865" s="17"/>
    </row>
    <row r="866" spans="1:25" ht="13" x14ac:dyDescent="0.15">
      <c r="A866" s="15"/>
      <c r="B866" s="26"/>
      <c r="C866" s="27"/>
      <c r="D866" s="26"/>
      <c r="E866" s="28"/>
      <c r="F866" s="29"/>
      <c r="G866" s="29"/>
      <c r="H866" s="30"/>
      <c r="I866" s="29"/>
      <c r="J866" s="29"/>
      <c r="K866" s="29"/>
      <c r="L866" s="29"/>
      <c r="M866" s="29"/>
      <c r="N866" s="29"/>
      <c r="O866" s="29"/>
      <c r="P866" s="29"/>
      <c r="Q866" s="29"/>
      <c r="R866" s="30"/>
      <c r="S866" s="84"/>
      <c r="T866" s="84"/>
      <c r="U866" s="31"/>
      <c r="V866" s="32"/>
      <c r="W866" s="33"/>
      <c r="X866" s="17"/>
      <c r="Y866" s="17"/>
    </row>
  </sheetData>
  <autoFilter ref="A1:W366" xr:uid="{00000000-0009-0000-0000-000008000000}"/>
  <mergeCells count="3">
    <mergeCell ref="F1:H1"/>
    <mergeCell ref="I1:R1"/>
    <mergeCell ref="S1:V1"/>
  </mergeCells>
  <conditionalFormatting sqref="Y3:Y866">
    <cfRule type="expression" dxfId="15" priority="1">
      <formula>$V3=1</formula>
    </cfRule>
  </conditionalFormatting>
  <conditionalFormatting sqref="Y3:Y866">
    <cfRule type="expression" dxfId="14" priority="2">
      <formula>$V3=0</formula>
    </cfRule>
  </conditionalFormatting>
  <conditionalFormatting sqref="Y3:Y866">
    <cfRule type="cellIs" dxfId="13" priority="3" operator="greaterThan">
      <formula>0</formula>
    </cfRule>
  </conditionalFormatting>
  <conditionalFormatting sqref="F3:H866">
    <cfRule type="cellIs" dxfId="12" priority="4" operator="equal">
      <formula>TRUE</formula>
    </cfRule>
  </conditionalFormatting>
  <conditionalFormatting sqref="I3:R866">
    <cfRule type="cellIs" dxfId="11" priority="5" operator="equal">
      <formula>TRUE</formula>
    </cfRule>
  </conditionalFormatting>
  <conditionalFormatting sqref="A3:Y866">
    <cfRule type="expression" dxfId="10" priority="6">
      <formula>$X3=1</formula>
    </cfRule>
  </conditionalFormatting>
  <conditionalFormatting sqref="A3:Y866">
    <cfRule type="expression" dxfId="9" priority="7">
      <formula>$X3=0</formula>
    </cfRule>
  </conditionalFormatting>
  <conditionalFormatting sqref="A328:Y347">
    <cfRule type="notContainsBlanks" dxfId="8" priority="8">
      <formula>LEN(TRIM(A328))&gt;0</formula>
    </cfRule>
  </conditionalFormatting>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W383"/>
  <sheetViews>
    <sheetView topLeftCell="B1" workbookViewId="0">
      <pane ySplit="2" topLeftCell="A3" activePane="bottomLeft" state="frozen"/>
      <selection pane="bottomLeft" activeCell="O10" sqref="O10"/>
    </sheetView>
  </sheetViews>
  <sheetFormatPr baseColWidth="10" defaultColWidth="12.6640625" defaultRowHeight="15.75" customHeight="1" x14ac:dyDescent="0.15"/>
  <cols>
    <col min="1" max="1" width="8.1640625" hidden="1" customWidth="1"/>
    <col min="2" max="2" width="8.1640625" customWidth="1"/>
    <col min="3" max="3" width="11" customWidth="1"/>
    <col min="4" max="4" width="29.6640625" customWidth="1"/>
    <col min="5" max="5" width="25.33203125" customWidth="1"/>
    <col min="6" max="6" width="37.6640625" customWidth="1"/>
    <col min="7" max="7" width="37.83203125" hidden="1" customWidth="1"/>
    <col min="8" max="23" width="6.33203125" customWidth="1"/>
  </cols>
  <sheetData>
    <row r="1" spans="1:23" ht="13" x14ac:dyDescent="0.15">
      <c r="B1" s="16"/>
      <c r="C1" s="16"/>
      <c r="D1" s="49"/>
      <c r="E1" s="16"/>
      <c r="F1" s="81"/>
      <c r="G1" s="80"/>
      <c r="H1" s="82" t="s">
        <v>105</v>
      </c>
      <c r="I1" s="70"/>
      <c r="J1" s="70"/>
      <c r="K1" s="70"/>
      <c r="L1" s="70"/>
      <c r="M1" s="70"/>
      <c r="N1" s="70"/>
      <c r="O1" s="70"/>
      <c r="P1" s="70"/>
      <c r="Q1" s="70"/>
      <c r="R1" s="70"/>
      <c r="S1" s="70"/>
      <c r="T1" s="70"/>
      <c r="U1" s="70"/>
      <c r="V1" s="70"/>
      <c r="W1" s="70"/>
    </row>
    <row r="2" spans="1:23" ht="111.75" customHeight="1" x14ac:dyDescent="0.15">
      <c r="A2" s="18"/>
      <c r="B2" s="50" t="s">
        <v>106</v>
      </c>
      <c r="C2" s="50" t="s">
        <v>107</v>
      </c>
      <c r="D2" s="51" t="s">
        <v>108</v>
      </c>
      <c r="E2" s="50" t="s">
        <v>109</v>
      </c>
      <c r="F2" s="52" t="s">
        <v>110</v>
      </c>
      <c r="G2" s="53" t="s">
        <v>111</v>
      </c>
      <c r="H2" s="54" t="s">
        <v>112</v>
      </c>
      <c r="I2" s="54" t="s">
        <v>113</v>
      </c>
      <c r="J2" s="54" t="s">
        <v>114</v>
      </c>
      <c r="K2" s="54" t="s">
        <v>115</v>
      </c>
      <c r="L2" s="54" t="s">
        <v>116</v>
      </c>
      <c r="M2" s="54" t="s">
        <v>117</v>
      </c>
      <c r="N2" s="54" t="s">
        <v>118</v>
      </c>
      <c r="O2" s="54" t="s">
        <v>119</v>
      </c>
      <c r="P2" s="54" t="s">
        <v>120</v>
      </c>
      <c r="Q2" s="54" t="s">
        <v>121</v>
      </c>
      <c r="R2" s="54" t="s">
        <v>122</v>
      </c>
      <c r="S2" s="54" t="s">
        <v>123</v>
      </c>
      <c r="T2" s="54" t="s">
        <v>124</v>
      </c>
      <c r="U2" s="54" t="s">
        <v>125</v>
      </c>
      <c r="V2" s="54" t="s">
        <v>126</v>
      </c>
      <c r="W2" s="54" t="s">
        <v>127</v>
      </c>
    </row>
    <row r="3" spans="1:23" ht="14" x14ac:dyDescent="0.15">
      <c r="A3" s="55" t="s">
        <v>128</v>
      </c>
      <c r="B3" s="56" t="s">
        <v>65</v>
      </c>
      <c r="C3" s="57" t="s">
        <v>129</v>
      </c>
      <c r="D3" s="58" t="s">
        <v>130</v>
      </c>
      <c r="E3" s="57" t="s">
        <v>131</v>
      </c>
      <c r="F3" s="59" t="s">
        <v>132</v>
      </c>
      <c r="G3" s="60" t="s">
        <v>112</v>
      </c>
      <c r="H3" s="60" t="b">
        <v>1</v>
      </c>
      <c r="I3" s="60" t="b">
        <v>0</v>
      </c>
      <c r="J3" s="60" t="b">
        <v>0</v>
      </c>
      <c r="K3" s="60" t="b">
        <v>0</v>
      </c>
      <c r="L3" s="60" t="b">
        <v>0</v>
      </c>
      <c r="M3" s="60" t="b">
        <v>0</v>
      </c>
      <c r="N3" s="60" t="b">
        <v>0</v>
      </c>
      <c r="O3" s="60" t="b">
        <v>0</v>
      </c>
      <c r="P3" s="60" t="b">
        <v>0</v>
      </c>
      <c r="Q3" s="60" t="b">
        <v>0</v>
      </c>
      <c r="R3" s="60" t="b">
        <v>0</v>
      </c>
      <c r="S3" s="60" t="b">
        <v>0</v>
      </c>
      <c r="T3" s="60" t="b">
        <v>0</v>
      </c>
      <c r="U3" s="60" t="b">
        <v>0</v>
      </c>
      <c r="V3" s="60" t="b">
        <v>0</v>
      </c>
      <c r="W3" s="60" t="b">
        <v>0</v>
      </c>
    </row>
    <row r="4" spans="1:23" ht="28" x14ac:dyDescent="0.15">
      <c r="A4" s="55" t="s">
        <v>133</v>
      </c>
      <c r="B4" s="56" t="s">
        <v>65</v>
      </c>
      <c r="C4" s="57" t="s">
        <v>129</v>
      </c>
      <c r="D4" s="58" t="s">
        <v>130</v>
      </c>
      <c r="E4" s="57" t="s">
        <v>131</v>
      </c>
      <c r="F4" s="59" t="s">
        <v>134</v>
      </c>
      <c r="G4" s="60" t="s">
        <v>135</v>
      </c>
      <c r="H4" s="60" t="b">
        <v>1</v>
      </c>
      <c r="I4" s="60" t="b">
        <v>0</v>
      </c>
      <c r="J4" s="60" t="b">
        <v>0</v>
      </c>
      <c r="K4" s="60" t="b">
        <v>0</v>
      </c>
      <c r="L4" s="60" t="b">
        <v>0</v>
      </c>
      <c r="M4" s="60" t="b">
        <v>0</v>
      </c>
      <c r="N4" s="60" t="b">
        <v>0</v>
      </c>
      <c r="O4" s="60" t="b">
        <v>0</v>
      </c>
      <c r="P4" s="60" t="b">
        <v>0</v>
      </c>
      <c r="Q4" s="60" t="b">
        <v>0</v>
      </c>
      <c r="R4" s="60" t="b">
        <v>0</v>
      </c>
      <c r="S4" s="60" t="b">
        <v>1</v>
      </c>
      <c r="T4" s="60" t="b">
        <v>0</v>
      </c>
      <c r="U4" s="60" t="b">
        <v>0</v>
      </c>
      <c r="V4" s="60" t="b">
        <v>0</v>
      </c>
      <c r="W4" s="60" t="b">
        <v>0</v>
      </c>
    </row>
    <row r="5" spans="1:23" ht="14" x14ac:dyDescent="0.15">
      <c r="A5" s="55" t="s">
        <v>136</v>
      </c>
      <c r="B5" s="56" t="s">
        <v>65</v>
      </c>
      <c r="C5" s="57" t="s">
        <v>129</v>
      </c>
      <c r="D5" s="58" t="s">
        <v>130</v>
      </c>
      <c r="E5" s="57" t="s">
        <v>131</v>
      </c>
      <c r="F5" s="59" t="s">
        <v>137</v>
      </c>
      <c r="G5" s="60" t="s">
        <v>112</v>
      </c>
      <c r="H5" s="60" t="b">
        <v>1</v>
      </c>
      <c r="I5" s="60" t="b">
        <v>0</v>
      </c>
      <c r="J5" s="60" t="b">
        <v>0</v>
      </c>
      <c r="K5" s="60" t="b">
        <v>0</v>
      </c>
      <c r="L5" s="60" t="b">
        <v>0</v>
      </c>
      <c r="M5" s="60" t="b">
        <v>0</v>
      </c>
      <c r="N5" s="60" t="b">
        <v>0</v>
      </c>
      <c r="O5" s="60" t="b">
        <v>0</v>
      </c>
      <c r="P5" s="60" t="b">
        <v>0</v>
      </c>
      <c r="Q5" s="60" t="b">
        <v>0</v>
      </c>
      <c r="R5" s="60" t="b">
        <v>0</v>
      </c>
      <c r="S5" s="60" t="b">
        <v>0</v>
      </c>
      <c r="T5" s="60" t="b">
        <v>0</v>
      </c>
      <c r="U5" s="60" t="b">
        <v>0</v>
      </c>
      <c r="V5" s="60" t="b">
        <v>0</v>
      </c>
      <c r="W5" s="60" t="b">
        <v>0</v>
      </c>
    </row>
    <row r="6" spans="1:23" ht="42" x14ac:dyDescent="0.15">
      <c r="A6" s="55" t="s">
        <v>138</v>
      </c>
      <c r="B6" s="56" t="s">
        <v>65</v>
      </c>
      <c r="C6" s="57" t="s">
        <v>129</v>
      </c>
      <c r="D6" s="58" t="s">
        <v>130</v>
      </c>
      <c r="E6" s="57" t="s">
        <v>131</v>
      </c>
      <c r="F6" s="59" t="s">
        <v>139</v>
      </c>
      <c r="G6" s="60" t="s">
        <v>140</v>
      </c>
      <c r="H6" s="60" t="b">
        <v>1</v>
      </c>
      <c r="I6" s="60" t="b">
        <v>0</v>
      </c>
      <c r="J6" s="60" t="b">
        <v>0</v>
      </c>
      <c r="K6" s="60" t="b">
        <v>0</v>
      </c>
      <c r="L6" s="60" t="b">
        <v>0</v>
      </c>
      <c r="M6" s="60" t="b">
        <v>0</v>
      </c>
      <c r="N6" s="60" t="b">
        <v>0</v>
      </c>
      <c r="O6" s="60" t="b">
        <v>0</v>
      </c>
      <c r="P6" s="60" t="b">
        <v>1</v>
      </c>
      <c r="Q6" s="60" t="b">
        <v>1</v>
      </c>
      <c r="R6" s="60" t="b">
        <v>1</v>
      </c>
      <c r="S6" s="60" t="b">
        <v>1</v>
      </c>
      <c r="T6" s="60" t="b">
        <v>0</v>
      </c>
      <c r="U6" s="60" t="b">
        <v>0</v>
      </c>
      <c r="V6" s="60" t="b">
        <v>0</v>
      </c>
      <c r="W6" s="60" t="b">
        <v>0</v>
      </c>
    </row>
    <row r="7" spans="1:23" ht="28" x14ac:dyDescent="0.15">
      <c r="A7" s="55" t="s">
        <v>141</v>
      </c>
      <c r="B7" s="56" t="s">
        <v>65</v>
      </c>
      <c r="C7" s="57" t="s">
        <v>129</v>
      </c>
      <c r="D7" s="58" t="s">
        <v>130</v>
      </c>
      <c r="E7" s="57" t="s">
        <v>131</v>
      </c>
      <c r="F7" s="59" t="s">
        <v>142</v>
      </c>
      <c r="G7" s="60" t="s">
        <v>115</v>
      </c>
      <c r="H7" s="60" t="b">
        <v>0</v>
      </c>
      <c r="I7" s="60" t="b">
        <v>0</v>
      </c>
      <c r="J7" s="60" t="b">
        <v>0</v>
      </c>
      <c r="K7" s="60" t="b">
        <v>1</v>
      </c>
      <c r="L7" s="60" t="b">
        <v>0</v>
      </c>
      <c r="M7" s="60" t="b">
        <v>0</v>
      </c>
      <c r="N7" s="60" t="b">
        <v>0</v>
      </c>
      <c r="O7" s="60" t="b">
        <v>0</v>
      </c>
      <c r="P7" s="60" t="b">
        <v>0</v>
      </c>
      <c r="Q7" s="60" t="b">
        <v>0</v>
      </c>
      <c r="R7" s="60" t="b">
        <v>0</v>
      </c>
      <c r="S7" s="60" t="b">
        <v>0</v>
      </c>
      <c r="T7" s="60" t="b">
        <v>0</v>
      </c>
      <c r="U7" s="60" t="b">
        <v>0</v>
      </c>
      <c r="V7" s="60" t="b">
        <v>0</v>
      </c>
      <c r="W7" s="60" t="b">
        <v>0</v>
      </c>
    </row>
    <row r="8" spans="1:23" ht="14" x14ac:dyDescent="0.15">
      <c r="A8" s="55" t="s">
        <v>143</v>
      </c>
      <c r="B8" s="56" t="s">
        <v>65</v>
      </c>
      <c r="C8" s="57" t="s">
        <v>129</v>
      </c>
      <c r="D8" s="58" t="s">
        <v>130</v>
      </c>
      <c r="E8" s="57" t="s">
        <v>131</v>
      </c>
      <c r="F8" s="59" t="s">
        <v>144</v>
      </c>
      <c r="G8" s="60" t="s">
        <v>112</v>
      </c>
      <c r="H8" s="60" t="b">
        <v>1</v>
      </c>
      <c r="I8" s="60" t="b">
        <v>0</v>
      </c>
      <c r="J8" s="60" t="b">
        <v>0</v>
      </c>
      <c r="K8" s="60" t="b">
        <v>0</v>
      </c>
      <c r="L8" s="60" t="b">
        <v>0</v>
      </c>
      <c r="M8" s="60" t="b">
        <v>0</v>
      </c>
      <c r="N8" s="60" t="b">
        <v>0</v>
      </c>
      <c r="O8" s="60" t="b">
        <v>0</v>
      </c>
      <c r="P8" s="60" t="b">
        <v>0</v>
      </c>
      <c r="Q8" s="60" t="b">
        <v>0</v>
      </c>
      <c r="R8" s="60" t="b">
        <v>0</v>
      </c>
      <c r="S8" s="60" t="b">
        <v>0</v>
      </c>
      <c r="T8" s="60" t="b">
        <v>0</v>
      </c>
      <c r="U8" s="60" t="b">
        <v>0</v>
      </c>
      <c r="V8" s="60" t="b">
        <v>0</v>
      </c>
      <c r="W8" s="60" t="b">
        <v>0</v>
      </c>
    </row>
    <row r="9" spans="1:23" ht="28" x14ac:dyDescent="0.15">
      <c r="A9" s="55" t="s">
        <v>145</v>
      </c>
      <c r="B9" s="56" t="s">
        <v>65</v>
      </c>
      <c r="C9" s="57" t="s">
        <v>129</v>
      </c>
      <c r="D9" s="58" t="s">
        <v>130</v>
      </c>
      <c r="E9" s="57" t="s">
        <v>146</v>
      </c>
      <c r="F9" s="59" t="s">
        <v>147</v>
      </c>
      <c r="G9" s="60" t="s">
        <v>148</v>
      </c>
      <c r="H9" s="60" t="b">
        <v>0</v>
      </c>
      <c r="I9" s="60" t="b">
        <v>0</v>
      </c>
      <c r="J9" s="60" t="b">
        <v>0</v>
      </c>
      <c r="K9" s="60" t="b">
        <v>1</v>
      </c>
      <c r="L9" s="60" t="b">
        <v>0</v>
      </c>
      <c r="M9" s="60" t="b">
        <v>0</v>
      </c>
      <c r="N9" s="60" t="b">
        <v>0</v>
      </c>
      <c r="O9" s="60" t="b">
        <v>0</v>
      </c>
      <c r="P9" s="60" t="b">
        <v>0</v>
      </c>
      <c r="Q9" s="60" t="b">
        <v>0</v>
      </c>
      <c r="R9" s="60" t="b">
        <v>0</v>
      </c>
      <c r="S9" s="60" t="b">
        <v>0</v>
      </c>
      <c r="T9" s="60" t="b">
        <v>0</v>
      </c>
      <c r="U9" s="60" t="b">
        <v>0</v>
      </c>
      <c r="V9" s="60" t="b">
        <v>0</v>
      </c>
      <c r="W9" s="60" t="b">
        <v>0</v>
      </c>
    </row>
    <row r="10" spans="1:23" ht="56" x14ac:dyDescent="0.15">
      <c r="A10" s="55" t="s">
        <v>149</v>
      </c>
      <c r="B10" s="56" t="s">
        <v>65</v>
      </c>
      <c r="C10" s="57" t="s">
        <v>129</v>
      </c>
      <c r="D10" s="58" t="s">
        <v>130</v>
      </c>
      <c r="E10" s="57" t="s">
        <v>146</v>
      </c>
      <c r="F10" s="59" t="s">
        <v>150</v>
      </c>
      <c r="G10" s="60" t="s">
        <v>115</v>
      </c>
      <c r="H10" s="60" t="b">
        <v>0</v>
      </c>
      <c r="I10" s="60" t="b">
        <v>0</v>
      </c>
      <c r="J10" s="60" t="b">
        <v>0</v>
      </c>
      <c r="K10" s="60" t="b">
        <v>1</v>
      </c>
      <c r="L10" s="60" t="b">
        <v>0</v>
      </c>
      <c r="M10" s="60" t="b">
        <v>0</v>
      </c>
      <c r="N10" s="60" t="b">
        <v>0</v>
      </c>
      <c r="O10" s="60" t="b">
        <v>0</v>
      </c>
      <c r="P10" s="60" t="b">
        <v>0</v>
      </c>
      <c r="Q10" s="60" t="b">
        <v>0</v>
      </c>
      <c r="R10" s="60" t="b">
        <v>0</v>
      </c>
      <c r="S10" s="60" t="b">
        <v>0</v>
      </c>
      <c r="T10" s="60" t="b">
        <v>0</v>
      </c>
      <c r="U10" s="60" t="b">
        <v>0</v>
      </c>
      <c r="V10" s="60" t="b">
        <v>0</v>
      </c>
      <c r="W10" s="60" t="b">
        <v>0</v>
      </c>
    </row>
    <row r="11" spans="1:23" ht="28" x14ac:dyDescent="0.15">
      <c r="A11" s="55" t="s">
        <v>151</v>
      </c>
      <c r="B11" s="56" t="s">
        <v>65</v>
      </c>
      <c r="C11" s="57" t="s">
        <v>129</v>
      </c>
      <c r="D11" s="58" t="s">
        <v>130</v>
      </c>
      <c r="E11" s="57" t="s">
        <v>152</v>
      </c>
      <c r="F11" s="59" t="s">
        <v>153</v>
      </c>
      <c r="G11" s="60" t="s">
        <v>115</v>
      </c>
      <c r="H11" s="60" t="b">
        <v>0</v>
      </c>
      <c r="I11" s="60" t="b">
        <v>0</v>
      </c>
      <c r="J11" s="60" t="b">
        <v>0</v>
      </c>
      <c r="K11" s="60" t="b">
        <v>1</v>
      </c>
      <c r="L11" s="60" t="b">
        <v>0</v>
      </c>
      <c r="M11" s="60" t="b">
        <v>0</v>
      </c>
      <c r="N11" s="60" t="b">
        <v>0</v>
      </c>
      <c r="O11" s="60" t="b">
        <v>0</v>
      </c>
      <c r="P11" s="60" t="b">
        <v>0</v>
      </c>
      <c r="Q11" s="60" t="b">
        <v>0</v>
      </c>
      <c r="R11" s="60" t="b">
        <v>0</v>
      </c>
      <c r="S11" s="60" t="b">
        <v>0</v>
      </c>
      <c r="T11" s="60" t="b">
        <v>0</v>
      </c>
      <c r="U11" s="60" t="b">
        <v>0</v>
      </c>
      <c r="V11" s="60" t="b">
        <v>0</v>
      </c>
      <c r="W11" s="60" t="b">
        <v>0</v>
      </c>
    </row>
    <row r="12" spans="1:23" ht="28" x14ac:dyDescent="0.15">
      <c r="A12" s="55" t="s">
        <v>154</v>
      </c>
      <c r="B12" s="56" t="s">
        <v>65</v>
      </c>
      <c r="C12" s="57" t="s">
        <v>129</v>
      </c>
      <c r="D12" s="58" t="s">
        <v>130</v>
      </c>
      <c r="E12" s="57" t="s">
        <v>152</v>
      </c>
      <c r="F12" s="59" t="s">
        <v>155</v>
      </c>
      <c r="G12" s="60" t="s">
        <v>115</v>
      </c>
      <c r="H12" s="60" t="b">
        <v>0</v>
      </c>
      <c r="I12" s="60" t="b">
        <v>0</v>
      </c>
      <c r="J12" s="60" t="b">
        <v>0</v>
      </c>
      <c r="K12" s="60" t="b">
        <v>1</v>
      </c>
      <c r="L12" s="60" t="b">
        <v>0</v>
      </c>
      <c r="M12" s="60" t="b">
        <v>0</v>
      </c>
      <c r="N12" s="60" t="b">
        <v>0</v>
      </c>
      <c r="O12" s="60" t="b">
        <v>0</v>
      </c>
      <c r="P12" s="60" t="b">
        <v>0</v>
      </c>
      <c r="Q12" s="60" t="b">
        <v>0</v>
      </c>
      <c r="R12" s="60" t="b">
        <v>0</v>
      </c>
      <c r="S12" s="60" t="b">
        <v>0</v>
      </c>
      <c r="T12" s="60" t="b">
        <v>0</v>
      </c>
      <c r="U12" s="60" t="b">
        <v>0</v>
      </c>
      <c r="V12" s="60" t="b">
        <v>0</v>
      </c>
      <c r="W12" s="60" t="b">
        <v>0</v>
      </c>
    </row>
    <row r="13" spans="1:23" ht="28" x14ac:dyDescent="0.15">
      <c r="A13" s="55" t="s">
        <v>156</v>
      </c>
      <c r="B13" s="56" t="s">
        <v>65</v>
      </c>
      <c r="C13" s="57" t="s">
        <v>129</v>
      </c>
      <c r="D13" s="58" t="s">
        <v>130</v>
      </c>
      <c r="E13" s="57" t="s">
        <v>152</v>
      </c>
      <c r="F13" s="59" t="s">
        <v>157</v>
      </c>
      <c r="G13" s="60" t="s">
        <v>115</v>
      </c>
      <c r="H13" s="60" t="b">
        <v>0</v>
      </c>
      <c r="I13" s="60" t="b">
        <v>0</v>
      </c>
      <c r="J13" s="60" t="b">
        <v>0</v>
      </c>
      <c r="K13" s="60" t="b">
        <v>1</v>
      </c>
      <c r="L13" s="60" t="b">
        <v>0</v>
      </c>
      <c r="M13" s="60" t="b">
        <v>0</v>
      </c>
      <c r="N13" s="60" t="b">
        <v>0</v>
      </c>
      <c r="O13" s="60" t="b">
        <v>0</v>
      </c>
      <c r="P13" s="60" t="b">
        <v>0</v>
      </c>
      <c r="Q13" s="60" t="b">
        <v>0</v>
      </c>
      <c r="R13" s="60" t="b">
        <v>0</v>
      </c>
      <c r="S13" s="60" t="b">
        <v>0</v>
      </c>
      <c r="T13" s="60" t="b">
        <v>0</v>
      </c>
      <c r="U13" s="60" t="b">
        <v>0</v>
      </c>
      <c r="V13" s="60" t="b">
        <v>0</v>
      </c>
      <c r="W13" s="60" t="b">
        <v>0</v>
      </c>
    </row>
    <row r="14" spans="1:23" ht="28" x14ac:dyDescent="0.15">
      <c r="A14" s="55" t="s">
        <v>158</v>
      </c>
      <c r="B14" s="56" t="s">
        <v>65</v>
      </c>
      <c r="C14" s="57" t="s">
        <v>129</v>
      </c>
      <c r="D14" s="58" t="s">
        <v>130</v>
      </c>
      <c r="E14" s="57" t="s">
        <v>159</v>
      </c>
      <c r="F14" s="59" t="s">
        <v>160</v>
      </c>
      <c r="G14" s="60" t="s">
        <v>115</v>
      </c>
      <c r="H14" s="60" t="b">
        <v>0</v>
      </c>
      <c r="I14" s="60" t="b">
        <v>0</v>
      </c>
      <c r="J14" s="60" t="b">
        <v>0</v>
      </c>
      <c r="K14" s="60" t="b">
        <v>1</v>
      </c>
      <c r="L14" s="60" t="b">
        <v>0</v>
      </c>
      <c r="M14" s="60" t="b">
        <v>0</v>
      </c>
      <c r="N14" s="60" t="b">
        <v>0</v>
      </c>
      <c r="O14" s="60" t="b">
        <v>0</v>
      </c>
      <c r="P14" s="60" t="b">
        <v>0</v>
      </c>
      <c r="Q14" s="60" t="b">
        <v>0</v>
      </c>
      <c r="R14" s="60" t="b">
        <v>0</v>
      </c>
      <c r="S14" s="60" t="b">
        <v>0</v>
      </c>
      <c r="T14" s="60" t="b">
        <v>0</v>
      </c>
      <c r="U14" s="60" t="b">
        <v>0</v>
      </c>
      <c r="V14" s="60" t="b">
        <v>0</v>
      </c>
      <c r="W14" s="60" t="b">
        <v>0</v>
      </c>
    </row>
    <row r="15" spans="1:23" ht="28" x14ac:dyDescent="0.15">
      <c r="A15" s="55" t="s">
        <v>161</v>
      </c>
      <c r="B15" s="56" t="s">
        <v>65</v>
      </c>
      <c r="C15" s="57" t="s">
        <v>129</v>
      </c>
      <c r="D15" s="58" t="s">
        <v>130</v>
      </c>
      <c r="E15" s="57" t="s">
        <v>159</v>
      </c>
      <c r="F15" s="59" t="s">
        <v>162</v>
      </c>
      <c r="G15" s="60" t="s">
        <v>115</v>
      </c>
      <c r="H15" s="60" t="b">
        <v>0</v>
      </c>
      <c r="I15" s="60" t="b">
        <v>0</v>
      </c>
      <c r="J15" s="60" t="b">
        <v>0</v>
      </c>
      <c r="K15" s="60" t="b">
        <v>1</v>
      </c>
      <c r="L15" s="60" t="b">
        <v>0</v>
      </c>
      <c r="M15" s="60" t="b">
        <v>0</v>
      </c>
      <c r="N15" s="60" t="b">
        <v>0</v>
      </c>
      <c r="O15" s="60" t="b">
        <v>0</v>
      </c>
      <c r="P15" s="60" t="b">
        <v>0</v>
      </c>
      <c r="Q15" s="60" t="b">
        <v>0</v>
      </c>
      <c r="R15" s="60" t="b">
        <v>0</v>
      </c>
      <c r="S15" s="60" t="b">
        <v>0</v>
      </c>
      <c r="T15" s="60" t="b">
        <v>0</v>
      </c>
      <c r="U15" s="60" t="b">
        <v>0</v>
      </c>
      <c r="V15" s="60" t="b">
        <v>0</v>
      </c>
      <c r="W15" s="60" t="b">
        <v>0</v>
      </c>
    </row>
    <row r="16" spans="1:23" ht="28" x14ac:dyDescent="0.15">
      <c r="A16" s="55" t="s">
        <v>163</v>
      </c>
      <c r="B16" s="56" t="s">
        <v>65</v>
      </c>
      <c r="C16" s="57" t="s">
        <v>129</v>
      </c>
      <c r="D16" s="58" t="s">
        <v>130</v>
      </c>
      <c r="E16" s="57" t="s">
        <v>159</v>
      </c>
      <c r="F16" s="59" t="s">
        <v>164</v>
      </c>
      <c r="G16" s="60" t="s">
        <v>115</v>
      </c>
      <c r="H16" s="60" t="b">
        <v>0</v>
      </c>
      <c r="I16" s="60" t="b">
        <v>0</v>
      </c>
      <c r="J16" s="60" t="b">
        <v>0</v>
      </c>
      <c r="K16" s="60" t="b">
        <v>1</v>
      </c>
      <c r="L16" s="60" t="b">
        <v>0</v>
      </c>
      <c r="M16" s="60" t="b">
        <v>0</v>
      </c>
      <c r="N16" s="60" t="b">
        <v>0</v>
      </c>
      <c r="O16" s="60" t="b">
        <v>0</v>
      </c>
      <c r="P16" s="60" t="b">
        <v>0</v>
      </c>
      <c r="Q16" s="60" t="b">
        <v>0</v>
      </c>
      <c r="R16" s="60" t="b">
        <v>0</v>
      </c>
      <c r="S16" s="60" t="b">
        <v>0</v>
      </c>
      <c r="T16" s="60" t="b">
        <v>0</v>
      </c>
      <c r="U16" s="60" t="b">
        <v>0</v>
      </c>
      <c r="V16" s="60" t="b">
        <v>0</v>
      </c>
      <c r="W16" s="60" t="b">
        <v>0</v>
      </c>
    </row>
    <row r="17" spans="1:23" ht="14" x14ac:dyDescent="0.15">
      <c r="A17" s="55" t="s">
        <v>165</v>
      </c>
      <c r="B17" s="56" t="s">
        <v>65</v>
      </c>
      <c r="C17" s="57" t="s">
        <v>129</v>
      </c>
      <c r="D17" s="58" t="s">
        <v>166</v>
      </c>
      <c r="E17" s="57" t="s">
        <v>167</v>
      </c>
      <c r="F17" s="59" t="s">
        <v>168</v>
      </c>
      <c r="G17" s="60" t="s">
        <v>120</v>
      </c>
      <c r="H17" s="60" t="b">
        <v>0</v>
      </c>
      <c r="I17" s="60" t="b">
        <v>0</v>
      </c>
      <c r="J17" s="60" t="b">
        <v>0</v>
      </c>
      <c r="K17" s="60" t="b">
        <v>0</v>
      </c>
      <c r="L17" s="60" t="b">
        <v>0</v>
      </c>
      <c r="M17" s="60" t="b">
        <v>0</v>
      </c>
      <c r="N17" s="60" t="b">
        <v>0</v>
      </c>
      <c r="O17" s="60" t="b">
        <v>0</v>
      </c>
      <c r="P17" s="60" t="b">
        <v>1</v>
      </c>
      <c r="Q17" s="60" t="b">
        <v>0</v>
      </c>
      <c r="R17" s="60" t="b">
        <v>0</v>
      </c>
      <c r="S17" s="60" t="b">
        <v>0</v>
      </c>
      <c r="T17" s="60" t="b">
        <v>0</v>
      </c>
      <c r="U17" s="60" t="b">
        <v>0</v>
      </c>
      <c r="V17" s="60" t="b">
        <v>0</v>
      </c>
      <c r="W17" s="60" t="b">
        <v>0</v>
      </c>
    </row>
    <row r="18" spans="1:23" ht="98" x14ac:dyDescent="0.15">
      <c r="A18" s="55" t="s">
        <v>169</v>
      </c>
      <c r="B18" s="56" t="s">
        <v>65</v>
      </c>
      <c r="C18" s="57" t="s">
        <v>129</v>
      </c>
      <c r="D18" s="58" t="s">
        <v>166</v>
      </c>
      <c r="E18" s="57" t="s">
        <v>167</v>
      </c>
      <c r="F18" s="59" t="s">
        <v>170</v>
      </c>
      <c r="G18" s="60" t="s">
        <v>171</v>
      </c>
      <c r="H18" s="60" t="b">
        <v>0</v>
      </c>
      <c r="I18" s="60" t="b">
        <v>0</v>
      </c>
      <c r="J18" s="60" t="b">
        <v>0</v>
      </c>
      <c r="K18" s="60" t="b">
        <v>0</v>
      </c>
      <c r="L18" s="60" t="b">
        <v>0</v>
      </c>
      <c r="M18" s="60" t="b">
        <v>0</v>
      </c>
      <c r="N18" s="60" t="b">
        <v>0</v>
      </c>
      <c r="O18" s="60" t="b">
        <v>1</v>
      </c>
      <c r="P18" s="60" t="b">
        <v>1</v>
      </c>
      <c r="Q18" s="60" t="b">
        <v>0</v>
      </c>
      <c r="R18" s="60" t="b">
        <v>0</v>
      </c>
      <c r="S18" s="60" t="b">
        <v>0</v>
      </c>
      <c r="T18" s="60" t="b">
        <v>0</v>
      </c>
      <c r="U18" s="60" t="b">
        <v>0</v>
      </c>
      <c r="V18" s="60" t="b">
        <v>0</v>
      </c>
      <c r="W18" s="60" t="b">
        <v>0</v>
      </c>
    </row>
    <row r="19" spans="1:23" ht="14" x14ac:dyDescent="0.15">
      <c r="A19" s="55" t="s">
        <v>172</v>
      </c>
      <c r="B19" s="56" t="s">
        <v>65</v>
      </c>
      <c r="C19" s="57" t="s">
        <v>129</v>
      </c>
      <c r="D19" s="58" t="s">
        <v>166</v>
      </c>
      <c r="E19" s="57" t="s">
        <v>167</v>
      </c>
      <c r="F19" s="59" t="s">
        <v>173</v>
      </c>
      <c r="G19" s="60" t="s">
        <v>123</v>
      </c>
      <c r="H19" s="60" t="b">
        <v>0</v>
      </c>
      <c r="I19" s="60" t="b">
        <v>0</v>
      </c>
      <c r="J19" s="60" t="b">
        <v>0</v>
      </c>
      <c r="K19" s="60" t="b">
        <v>0</v>
      </c>
      <c r="L19" s="60" t="b">
        <v>0</v>
      </c>
      <c r="M19" s="60" t="b">
        <v>0</v>
      </c>
      <c r="N19" s="60" t="b">
        <v>0</v>
      </c>
      <c r="O19" s="60" t="b">
        <v>0</v>
      </c>
      <c r="P19" s="60" t="b">
        <v>0</v>
      </c>
      <c r="Q19" s="60" t="b">
        <v>0</v>
      </c>
      <c r="R19" s="60" t="b">
        <v>0</v>
      </c>
      <c r="S19" s="60" t="b">
        <v>1</v>
      </c>
      <c r="T19" s="60" t="b">
        <v>0</v>
      </c>
      <c r="U19" s="60" t="b">
        <v>0</v>
      </c>
      <c r="V19" s="60" t="b">
        <v>0</v>
      </c>
      <c r="W19" s="60" t="b">
        <v>0</v>
      </c>
    </row>
    <row r="20" spans="1:23" ht="28" x14ac:dyDescent="0.15">
      <c r="A20" s="55" t="s">
        <v>174</v>
      </c>
      <c r="B20" s="56" t="s">
        <v>65</v>
      </c>
      <c r="C20" s="57" t="s">
        <v>129</v>
      </c>
      <c r="D20" s="58" t="s">
        <v>166</v>
      </c>
      <c r="E20" s="57" t="s">
        <v>167</v>
      </c>
      <c r="F20" s="59" t="s">
        <v>175</v>
      </c>
      <c r="G20" s="60" t="s">
        <v>123</v>
      </c>
      <c r="H20" s="60" t="b">
        <v>0</v>
      </c>
      <c r="I20" s="60" t="b">
        <v>0</v>
      </c>
      <c r="J20" s="60" t="b">
        <v>0</v>
      </c>
      <c r="K20" s="60" t="b">
        <v>0</v>
      </c>
      <c r="L20" s="60" t="b">
        <v>0</v>
      </c>
      <c r="M20" s="60" t="b">
        <v>0</v>
      </c>
      <c r="N20" s="60" t="b">
        <v>0</v>
      </c>
      <c r="O20" s="60" t="b">
        <v>0</v>
      </c>
      <c r="P20" s="60" t="b">
        <v>0</v>
      </c>
      <c r="Q20" s="60" t="b">
        <v>0</v>
      </c>
      <c r="R20" s="60" t="b">
        <v>0</v>
      </c>
      <c r="S20" s="60" t="b">
        <v>1</v>
      </c>
      <c r="T20" s="60" t="b">
        <v>0</v>
      </c>
      <c r="U20" s="60" t="b">
        <v>0</v>
      </c>
      <c r="V20" s="60" t="b">
        <v>0</v>
      </c>
      <c r="W20" s="60" t="b">
        <v>0</v>
      </c>
    </row>
    <row r="21" spans="1:23" ht="28" x14ac:dyDescent="0.15">
      <c r="A21" s="55" t="s">
        <v>176</v>
      </c>
      <c r="B21" s="56" t="s">
        <v>65</v>
      </c>
      <c r="C21" s="57" t="s">
        <v>129</v>
      </c>
      <c r="D21" s="58" t="s">
        <v>166</v>
      </c>
      <c r="E21" s="57" t="s">
        <v>167</v>
      </c>
      <c r="F21" s="59" t="s">
        <v>177</v>
      </c>
      <c r="G21" s="60" t="s">
        <v>123</v>
      </c>
      <c r="H21" s="60" t="b">
        <v>0</v>
      </c>
      <c r="I21" s="60" t="b">
        <v>0</v>
      </c>
      <c r="J21" s="60" t="b">
        <v>0</v>
      </c>
      <c r="K21" s="60" t="b">
        <v>0</v>
      </c>
      <c r="L21" s="60" t="b">
        <v>0</v>
      </c>
      <c r="M21" s="60" t="b">
        <v>0</v>
      </c>
      <c r="N21" s="60" t="b">
        <v>0</v>
      </c>
      <c r="O21" s="60" t="b">
        <v>0</v>
      </c>
      <c r="P21" s="60" t="b">
        <v>0</v>
      </c>
      <c r="Q21" s="60" t="b">
        <v>0</v>
      </c>
      <c r="R21" s="60" t="b">
        <v>0</v>
      </c>
      <c r="S21" s="60" t="b">
        <v>1</v>
      </c>
      <c r="T21" s="60" t="b">
        <v>0</v>
      </c>
      <c r="U21" s="60" t="b">
        <v>0</v>
      </c>
      <c r="V21" s="60" t="b">
        <v>0</v>
      </c>
      <c r="W21" s="60" t="b">
        <v>0</v>
      </c>
    </row>
    <row r="22" spans="1:23" ht="28" x14ac:dyDescent="0.15">
      <c r="A22" s="55" t="s">
        <v>178</v>
      </c>
      <c r="B22" s="56" t="s">
        <v>65</v>
      </c>
      <c r="C22" s="57" t="s">
        <v>129</v>
      </c>
      <c r="D22" s="58" t="s">
        <v>166</v>
      </c>
      <c r="E22" s="57" t="s">
        <v>167</v>
      </c>
      <c r="F22" s="59" t="s">
        <v>179</v>
      </c>
      <c r="G22" s="60" t="s">
        <v>180</v>
      </c>
      <c r="H22" s="60" t="b">
        <v>0</v>
      </c>
      <c r="I22" s="60" t="b">
        <v>0</v>
      </c>
      <c r="J22" s="60" t="b">
        <v>0</v>
      </c>
      <c r="K22" s="60" t="b">
        <v>0</v>
      </c>
      <c r="L22" s="60" t="b">
        <v>0</v>
      </c>
      <c r="M22" s="60" t="b">
        <v>0</v>
      </c>
      <c r="N22" s="60" t="b">
        <v>0</v>
      </c>
      <c r="O22" s="60" t="b">
        <v>0</v>
      </c>
      <c r="P22" s="60" t="b">
        <v>0</v>
      </c>
      <c r="Q22" s="60" t="b">
        <v>0</v>
      </c>
      <c r="R22" s="60" t="b">
        <v>0</v>
      </c>
      <c r="S22" s="60" t="b">
        <v>1</v>
      </c>
      <c r="T22" s="60" t="b">
        <v>1</v>
      </c>
      <c r="U22" s="60" t="b">
        <v>0</v>
      </c>
      <c r="V22" s="60" t="b">
        <v>0</v>
      </c>
      <c r="W22" s="60" t="b">
        <v>0</v>
      </c>
    </row>
    <row r="23" spans="1:23" ht="70" x14ac:dyDescent="0.15">
      <c r="A23" s="55" t="s">
        <v>181</v>
      </c>
      <c r="B23" s="56" t="s">
        <v>65</v>
      </c>
      <c r="C23" s="57" t="s">
        <v>129</v>
      </c>
      <c r="D23" s="58" t="s">
        <v>166</v>
      </c>
      <c r="E23" s="57" t="s">
        <v>167</v>
      </c>
      <c r="F23" s="59" t="s">
        <v>182</v>
      </c>
      <c r="G23" s="60" t="s">
        <v>123</v>
      </c>
      <c r="H23" s="60" t="b">
        <v>0</v>
      </c>
      <c r="I23" s="60" t="b">
        <v>0</v>
      </c>
      <c r="J23" s="60" t="b">
        <v>0</v>
      </c>
      <c r="K23" s="60" t="b">
        <v>0</v>
      </c>
      <c r="L23" s="60" t="b">
        <v>0</v>
      </c>
      <c r="M23" s="60" t="b">
        <v>0</v>
      </c>
      <c r="N23" s="60" t="b">
        <v>0</v>
      </c>
      <c r="O23" s="60" t="b">
        <v>0</v>
      </c>
      <c r="P23" s="60" t="b">
        <v>0</v>
      </c>
      <c r="Q23" s="60" t="b">
        <v>0</v>
      </c>
      <c r="R23" s="60" t="b">
        <v>0</v>
      </c>
      <c r="S23" s="60" t="b">
        <v>1</v>
      </c>
      <c r="T23" s="60" t="b">
        <v>0</v>
      </c>
      <c r="U23" s="60" t="b">
        <v>0</v>
      </c>
      <c r="V23" s="60" t="b">
        <v>0</v>
      </c>
      <c r="W23" s="60" t="b">
        <v>0</v>
      </c>
    </row>
    <row r="24" spans="1:23" ht="28" x14ac:dyDescent="0.15">
      <c r="A24" s="55" t="s">
        <v>183</v>
      </c>
      <c r="B24" s="56" t="s">
        <v>65</v>
      </c>
      <c r="C24" s="57" t="s">
        <v>129</v>
      </c>
      <c r="D24" s="58" t="s">
        <v>166</v>
      </c>
      <c r="E24" s="57" t="s">
        <v>167</v>
      </c>
      <c r="F24" s="59" t="s">
        <v>184</v>
      </c>
      <c r="G24" s="60" t="s">
        <v>123</v>
      </c>
      <c r="H24" s="60" t="b">
        <v>0</v>
      </c>
      <c r="I24" s="60" t="b">
        <v>0</v>
      </c>
      <c r="J24" s="60" t="b">
        <v>0</v>
      </c>
      <c r="K24" s="60" t="b">
        <v>0</v>
      </c>
      <c r="L24" s="60" t="b">
        <v>0</v>
      </c>
      <c r="M24" s="60" t="b">
        <v>0</v>
      </c>
      <c r="N24" s="60" t="b">
        <v>0</v>
      </c>
      <c r="O24" s="60" t="b">
        <v>0</v>
      </c>
      <c r="P24" s="60" t="b">
        <v>0</v>
      </c>
      <c r="Q24" s="60" t="b">
        <v>0</v>
      </c>
      <c r="R24" s="60" t="b">
        <v>0</v>
      </c>
      <c r="S24" s="60" t="b">
        <v>1</v>
      </c>
      <c r="T24" s="60" t="b">
        <v>0</v>
      </c>
      <c r="U24" s="60" t="b">
        <v>0</v>
      </c>
      <c r="V24" s="60" t="b">
        <v>0</v>
      </c>
      <c r="W24" s="60" t="b">
        <v>0</v>
      </c>
    </row>
    <row r="25" spans="1:23" ht="28" x14ac:dyDescent="0.15">
      <c r="A25" s="55" t="s">
        <v>185</v>
      </c>
      <c r="B25" s="56" t="s">
        <v>65</v>
      </c>
      <c r="C25" s="57" t="s">
        <v>129</v>
      </c>
      <c r="D25" s="58" t="s">
        <v>166</v>
      </c>
      <c r="E25" s="57" t="s">
        <v>167</v>
      </c>
      <c r="F25" s="59" t="s">
        <v>186</v>
      </c>
      <c r="G25" s="60" t="s">
        <v>123</v>
      </c>
      <c r="H25" s="60" t="b">
        <v>0</v>
      </c>
      <c r="I25" s="60" t="b">
        <v>0</v>
      </c>
      <c r="J25" s="60" t="b">
        <v>0</v>
      </c>
      <c r="K25" s="60" t="b">
        <v>0</v>
      </c>
      <c r="L25" s="60" t="b">
        <v>0</v>
      </c>
      <c r="M25" s="60" t="b">
        <v>0</v>
      </c>
      <c r="N25" s="60" t="b">
        <v>0</v>
      </c>
      <c r="O25" s="60" t="b">
        <v>0</v>
      </c>
      <c r="P25" s="60" t="b">
        <v>0</v>
      </c>
      <c r="Q25" s="60" t="b">
        <v>0</v>
      </c>
      <c r="R25" s="60" t="b">
        <v>0</v>
      </c>
      <c r="S25" s="60" t="b">
        <v>1</v>
      </c>
      <c r="T25" s="60" t="b">
        <v>0</v>
      </c>
      <c r="U25" s="60" t="b">
        <v>0</v>
      </c>
      <c r="V25" s="60" t="b">
        <v>0</v>
      </c>
      <c r="W25" s="60" t="b">
        <v>0</v>
      </c>
    </row>
    <row r="26" spans="1:23" ht="28" x14ac:dyDescent="0.15">
      <c r="A26" s="55" t="s">
        <v>187</v>
      </c>
      <c r="B26" s="56" t="s">
        <v>65</v>
      </c>
      <c r="C26" s="57" t="s">
        <v>129</v>
      </c>
      <c r="D26" s="58" t="s">
        <v>166</v>
      </c>
      <c r="E26" s="57" t="s">
        <v>167</v>
      </c>
      <c r="F26" s="59" t="s">
        <v>188</v>
      </c>
      <c r="G26" s="60" t="s">
        <v>123</v>
      </c>
      <c r="H26" s="60" t="b">
        <v>0</v>
      </c>
      <c r="I26" s="60" t="b">
        <v>0</v>
      </c>
      <c r="J26" s="60" t="b">
        <v>0</v>
      </c>
      <c r="K26" s="60" t="b">
        <v>0</v>
      </c>
      <c r="L26" s="60" t="b">
        <v>0</v>
      </c>
      <c r="M26" s="60" t="b">
        <v>0</v>
      </c>
      <c r="N26" s="60" t="b">
        <v>0</v>
      </c>
      <c r="O26" s="60" t="b">
        <v>0</v>
      </c>
      <c r="P26" s="60" t="b">
        <v>0</v>
      </c>
      <c r="Q26" s="60" t="b">
        <v>0</v>
      </c>
      <c r="R26" s="60" t="b">
        <v>0</v>
      </c>
      <c r="S26" s="60" t="b">
        <v>1</v>
      </c>
      <c r="T26" s="60" t="b">
        <v>0</v>
      </c>
      <c r="U26" s="60" t="b">
        <v>0</v>
      </c>
      <c r="V26" s="60" t="b">
        <v>0</v>
      </c>
      <c r="W26" s="60" t="b">
        <v>0</v>
      </c>
    </row>
    <row r="27" spans="1:23" ht="28" x14ac:dyDescent="0.15">
      <c r="A27" s="55" t="s">
        <v>189</v>
      </c>
      <c r="B27" s="56" t="s">
        <v>65</v>
      </c>
      <c r="C27" s="57" t="s">
        <v>129</v>
      </c>
      <c r="D27" s="58" t="s">
        <v>166</v>
      </c>
      <c r="E27" s="57" t="s">
        <v>167</v>
      </c>
      <c r="F27" s="59" t="s">
        <v>190</v>
      </c>
      <c r="G27" s="60" t="s">
        <v>122</v>
      </c>
      <c r="H27" s="60" t="b">
        <v>0</v>
      </c>
      <c r="I27" s="60" t="b">
        <v>0</v>
      </c>
      <c r="J27" s="60" t="b">
        <v>0</v>
      </c>
      <c r="K27" s="60" t="b">
        <v>0</v>
      </c>
      <c r="L27" s="60" t="b">
        <v>0</v>
      </c>
      <c r="M27" s="60" t="b">
        <v>0</v>
      </c>
      <c r="N27" s="60" t="b">
        <v>0</v>
      </c>
      <c r="O27" s="60" t="b">
        <v>0</v>
      </c>
      <c r="P27" s="60" t="b">
        <v>0</v>
      </c>
      <c r="Q27" s="60" t="b">
        <v>0</v>
      </c>
      <c r="R27" s="60" t="b">
        <v>1</v>
      </c>
      <c r="S27" s="60" t="b">
        <v>0</v>
      </c>
      <c r="T27" s="60" t="b">
        <v>0</v>
      </c>
      <c r="U27" s="60" t="b">
        <v>0</v>
      </c>
      <c r="V27" s="60" t="b">
        <v>0</v>
      </c>
      <c r="W27" s="60" t="b">
        <v>0</v>
      </c>
    </row>
    <row r="28" spans="1:23" ht="28" x14ac:dyDescent="0.15">
      <c r="A28" s="55" t="s">
        <v>191</v>
      </c>
      <c r="B28" s="56" t="s">
        <v>65</v>
      </c>
      <c r="C28" s="57" t="s">
        <v>129</v>
      </c>
      <c r="D28" s="58" t="s">
        <v>166</v>
      </c>
      <c r="E28" s="57" t="s">
        <v>167</v>
      </c>
      <c r="F28" s="59" t="s">
        <v>192</v>
      </c>
      <c r="G28" s="60" t="s">
        <v>193</v>
      </c>
      <c r="H28" s="60" t="b">
        <v>0</v>
      </c>
      <c r="I28" s="60" t="b">
        <v>0</v>
      </c>
      <c r="J28" s="60" t="b">
        <v>0</v>
      </c>
      <c r="K28" s="60" t="b">
        <v>0</v>
      </c>
      <c r="L28" s="60" t="b">
        <v>0</v>
      </c>
      <c r="M28" s="60" t="b">
        <v>0</v>
      </c>
      <c r="N28" s="60" t="b">
        <v>0</v>
      </c>
      <c r="O28" s="60" t="b">
        <v>0</v>
      </c>
      <c r="P28" s="60" t="b">
        <v>1</v>
      </c>
      <c r="Q28" s="60" t="b">
        <v>0</v>
      </c>
      <c r="R28" s="60" t="b">
        <v>1</v>
      </c>
      <c r="S28" s="60" t="b">
        <v>0</v>
      </c>
      <c r="T28" s="60" t="b">
        <v>0</v>
      </c>
      <c r="U28" s="60" t="b">
        <v>0</v>
      </c>
      <c r="V28" s="60" t="b">
        <v>0</v>
      </c>
      <c r="W28" s="60" t="b">
        <v>0</v>
      </c>
    </row>
    <row r="29" spans="1:23" ht="70" x14ac:dyDescent="0.15">
      <c r="A29" s="55" t="s">
        <v>194</v>
      </c>
      <c r="B29" s="56" t="s">
        <v>65</v>
      </c>
      <c r="C29" s="57" t="s">
        <v>129</v>
      </c>
      <c r="D29" s="58" t="s">
        <v>166</v>
      </c>
      <c r="E29" s="57" t="s">
        <v>167</v>
      </c>
      <c r="F29" s="59" t="s">
        <v>195</v>
      </c>
      <c r="G29" s="60" t="s">
        <v>196</v>
      </c>
      <c r="H29" s="60" t="b">
        <v>0</v>
      </c>
      <c r="I29" s="60" t="b">
        <v>0</v>
      </c>
      <c r="J29" s="60" t="b">
        <v>0</v>
      </c>
      <c r="K29" s="60" t="b">
        <v>0</v>
      </c>
      <c r="L29" s="60" t="b">
        <v>0</v>
      </c>
      <c r="M29" s="60" t="b">
        <v>0</v>
      </c>
      <c r="N29" s="60" t="b">
        <v>0</v>
      </c>
      <c r="O29" s="60" t="b">
        <v>0</v>
      </c>
      <c r="P29" s="60" t="b">
        <v>0</v>
      </c>
      <c r="Q29" s="60" t="b">
        <v>0</v>
      </c>
      <c r="R29" s="60" t="b">
        <v>1</v>
      </c>
      <c r="S29" s="60" t="b">
        <v>1</v>
      </c>
      <c r="T29" s="60" t="b">
        <v>0</v>
      </c>
      <c r="U29" s="60" t="b">
        <v>0</v>
      </c>
      <c r="V29" s="60" t="b">
        <v>0</v>
      </c>
      <c r="W29" s="60" t="b">
        <v>0</v>
      </c>
    </row>
    <row r="30" spans="1:23" ht="70" x14ac:dyDescent="0.15">
      <c r="A30" s="55" t="s">
        <v>197</v>
      </c>
      <c r="B30" s="56" t="s">
        <v>65</v>
      </c>
      <c r="C30" s="57" t="s">
        <v>129</v>
      </c>
      <c r="D30" s="58" t="s">
        <v>166</v>
      </c>
      <c r="E30" s="57" t="s">
        <v>167</v>
      </c>
      <c r="F30" s="59" t="s">
        <v>198</v>
      </c>
      <c r="G30" s="60" t="s">
        <v>123</v>
      </c>
      <c r="H30" s="60" t="b">
        <v>0</v>
      </c>
      <c r="I30" s="60" t="b">
        <v>0</v>
      </c>
      <c r="J30" s="60" t="b">
        <v>0</v>
      </c>
      <c r="K30" s="60" t="b">
        <v>0</v>
      </c>
      <c r="L30" s="60" t="b">
        <v>0</v>
      </c>
      <c r="M30" s="60" t="b">
        <v>0</v>
      </c>
      <c r="N30" s="60" t="b">
        <v>0</v>
      </c>
      <c r="O30" s="60" t="b">
        <v>0</v>
      </c>
      <c r="P30" s="60" t="b">
        <v>0</v>
      </c>
      <c r="Q30" s="60" t="b">
        <v>0</v>
      </c>
      <c r="R30" s="60" t="b">
        <v>0</v>
      </c>
      <c r="S30" s="60" t="b">
        <v>1</v>
      </c>
      <c r="T30" s="60" t="b">
        <v>0</v>
      </c>
      <c r="U30" s="60" t="b">
        <v>0</v>
      </c>
      <c r="V30" s="60" t="b">
        <v>0</v>
      </c>
      <c r="W30" s="60" t="b">
        <v>0</v>
      </c>
    </row>
    <row r="31" spans="1:23" ht="28" x14ac:dyDescent="0.15">
      <c r="A31" s="55" t="s">
        <v>199</v>
      </c>
      <c r="B31" s="56" t="s">
        <v>65</v>
      </c>
      <c r="C31" s="57" t="s">
        <v>129</v>
      </c>
      <c r="D31" s="58" t="s">
        <v>166</v>
      </c>
      <c r="E31" s="57" t="s">
        <v>167</v>
      </c>
      <c r="F31" s="59" t="s">
        <v>200</v>
      </c>
      <c r="G31" s="60" t="s">
        <v>201</v>
      </c>
      <c r="H31" s="60" t="b">
        <v>0</v>
      </c>
      <c r="I31" s="60" t="b">
        <v>0</v>
      </c>
      <c r="J31" s="60" t="b">
        <v>0</v>
      </c>
      <c r="K31" s="60" t="b">
        <v>0</v>
      </c>
      <c r="L31" s="60" t="b">
        <v>0</v>
      </c>
      <c r="M31" s="60" t="b">
        <v>0</v>
      </c>
      <c r="N31" s="60" t="b">
        <v>0</v>
      </c>
      <c r="O31" s="60" t="b">
        <v>0</v>
      </c>
      <c r="P31" s="60" t="b">
        <v>0</v>
      </c>
      <c r="Q31" s="60" t="b">
        <v>0</v>
      </c>
      <c r="R31" s="60" t="b">
        <v>0</v>
      </c>
      <c r="S31" s="60" t="b">
        <v>0</v>
      </c>
      <c r="T31" s="60" t="b">
        <v>0</v>
      </c>
      <c r="U31" s="60" t="b">
        <v>0</v>
      </c>
      <c r="V31" s="60" t="b">
        <v>0</v>
      </c>
      <c r="W31" s="60" t="b">
        <v>0</v>
      </c>
    </row>
    <row r="32" spans="1:23" ht="56" x14ac:dyDescent="0.15">
      <c r="A32" s="55" t="s">
        <v>202</v>
      </c>
      <c r="B32" s="56" t="s">
        <v>65</v>
      </c>
      <c r="C32" s="57" t="s">
        <v>129</v>
      </c>
      <c r="D32" s="58" t="s">
        <v>166</v>
      </c>
      <c r="E32" s="57" t="s">
        <v>167</v>
      </c>
      <c r="F32" s="59" t="s">
        <v>203</v>
      </c>
      <c r="G32" s="60" t="s">
        <v>120</v>
      </c>
      <c r="H32" s="60" t="b">
        <v>0</v>
      </c>
      <c r="I32" s="60" t="b">
        <v>0</v>
      </c>
      <c r="J32" s="60" t="b">
        <v>0</v>
      </c>
      <c r="K32" s="60" t="b">
        <v>0</v>
      </c>
      <c r="L32" s="60" t="b">
        <v>0</v>
      </c>
      <c r="M32" s="60" t="b">
        <v>0</v>
      </c>
      <c r="N32" s="60" t="b">
        <v>0</v>
      </c>
      <c r="O32" s="60" t="b">
        <v>0</v>
      </c>
      <c r="P32" s="60" t="b">
        <v>1</v>
      </c>
      <c r="Q32" s="60" t="b">
        <v>0</v>
      </c>
      <c r="R32" s="60" t="b">
        <v>0</v>
      </c>
      <c r="S32" s="60" t="b">
        <v>0</v>
      </c>
      <c r="T32" s="60" t="b">
        <v>0</v>
      </c>
      <c r="U32" s="60" t="b">
        <v>0</v>
      </c>
      <c r="V32" s="60" t="b">
        <v>0</v>
      </c>
      <c r="W32" s="60" t="b">
        <v>0</v>
      </c>
    </row>
    <row r="33" spans="1:23" ht="28" x14ac:dyDescent="0.15">
      <c r="A33" s="55" t="s">
        <v>204</v>
      </c>
      <c r="B33" s="56" t="s">
        <v>65</v>
      </c>
      <c r="C33" s="57" t="s">
        <v>129</v>
      </c>
      <c r="D33" s="58" t="s">
        <v>166</v>
      </c>
      <c r="E33" s="57" t="s">
        <v>167</v>
      </c>
      <c r="F33" s="59" t="s">
        <v>205</v>
      </c>
      <c r="G33" s="60" t="s">
        <v>206</v>
      </c>
      <c r="H33" s="60" t="b">
        <v>1</v>
      </c>
      <c r="I33" s="60" t="b">
        <v>0</v>
      </c>
      <c r="J33" s="60" t="b">
        <v>0</v>
      </c>
      <c r="K33" s="60" t="b">
        <v>1</v>
      </c>
      <c r="L33" s="60" t="b">
        <v>0</v>
      </c>
      <c r="M33" s="60" t="b">
        <v>0</v>
      </c>
      <c r="N33" s="60" t="b">
        <v>0</v>
      </c>
      <c r="O33" s="60" t="b">
        <v>0</v>
      </c>
      <c r="P33" s="60" t="b">
        <v>1</v>
      </c>
      <c r="Q33" s="60" t="b">
        <v>0</v>
      </c>
      <c r="R33" s="60" t="b">
        <v>1</v>
      </c>
      <c r="S33" s="60" t="b">
        <v>0</v>
      </c>
      <c r="T33" s="60" t="b">
        <v>0</v>
      </c>
      <c r="U33" s="60" t="b">
        <v>0</v>
      </c>
      <c r="V33" s="60" t="b">
        <v>0</v>
      </c>
      <c r="W33" s="60" t="b">
        <v>0</v>
      </c>
    </row>
    <row r="34" spans="1:23" ht="126" x14ac:dyDescent="0.15">
      <c r="A34" s="55" t="s">
        <v>207</v>
      </c>
      <c r="B34" s="56" t="s">
        <v>65</v>
      </c>
      <c r="C34" s="57" t="s">
        <v>129</v>
      </c>
      <c r="D34" s="58" t="s">
        <v>166</v>
      </c>
      <c r="E34" s="57" t="s">
        <v>208</v>
      </c>
      <c r="F34" s="59" t="s">
        <v>209</v>
      </c>
      <c r="G34" s="60" t="s">
        <v>210</v>
      </c>
      <c r="H34" s="60" t="b">
        <v>0</v>
      </c>
      <c r="I34" s="60" t="b">
        <v>0</v>
      </c>
      <c r="J34" s="60" t="b">
        <v>0</v>
      </c>
      <c r="K34" s="60" t="b">
        <v>0</v>
      </c>
      <c r="L34" s="60" t="b">
        <v>0</v>
      </c>
      <c r="M34" s="60" t="b">
        <v>0</v>
      </c>
      <c r="N34" s="60" t="b">
        <v>0</v>
      </c>
      <c r="O34" s="60" t="b">
        <v>0</v>
      </c>
      <c r="P34" s="60" t="b">
        <v>1</v>
      </c>
      <c r="Q34" s="60" t="b">
        <v>1</v>
      </c>
      <c r="R34" s="60" t="b">
        <v>1</v>
      </c>
      <c r="S34" s="60" t="b">
        <v>1</v>
      </c>
      <c r="T34" s="60" t="b">
        <v>0</v>
      </c>
      <c r="U34" s="60" t="b">
        <v>0</v>
      </c>
      <c r="V34" s="60" t="b">
        <v>0</v>
      </c>
      <c r="W34" s="60" t="b">
        <v>0</v>
      </c>
    </row>
    <row r="35" spans="1:23" ht="56" x14ac:dyDescent="0.15">
      <c r="A35" s="55" t="s">
        <v>211</v>
      </c>
      <c r="B35" s="56" t="s">
        <v>65</v>
      </c>
      <c r="C35" s="57" t="s">
        <v>129</v>
      </c>
      <c r="D35" s="58" t="s">
        <v>166</v>
      </c>
      <c r="E35" s="57" t="s">
        <v>208</v>
      </c>
      <c r="F35" s="59" t="s">
        <v>212</v>
      </c>
      <c r="G35" s="60" t="s">
        <v>213</v>
      </c>
      <c r="H35" s="60" t="b">
        <v>0</v>
      </c>
      <c r="I35" s="60" t="b">
        <v>0</v>
      </c>
      <c r="J35" s="60" t="b">
        <v>0</v>
      </c>
      <c r="K35" s="60" t="b">
        <v>0</v>
      </c>
      <c r="L35" s="60" t="b">
        <v>0</v>
      </c>
      <c r="M35" s="60" t="b">
        <v>0</v>
      </c>
      <c r="N35" s="60" t="b">
        <v>0</v>
      </c>
      <c r="O35" s="60" t="b">
        <v>0</v>
      </c>
      <c r="P35" s="60" t="b">
        <v>0</v>
      </c>
      <c r="Q35" s="60" t="b">
        <v>0</v>
      </c>
      <c r="R35" s="60" t="b">
        <v>1</v>
      </c>
      <c r="S35" s="60" t="b">
        <v>0</v>
      </c>
      <c r="T35" s="60" t="b">
        <v>0</v>
      </c>
      <c r="U35" s="60" t="b">
        <v>0</v>
      </c>
      <c r="V35" s="60" t="b">
        <v>0</v>
      </c>
      <c r="W35" s="60" t="b">
        <v>0</v>
      </c>
    </row>
    <row r="36" spans="1:23" ht="28" x14ac:dyDescent="0.15">
      <c r="A36" s="55" t="s">
        <v>214</v>
      </c>
      <c r="B36" s="56" t="s">
        <v>65</v>
      </c>
      <c r="C36" s="57" t="s">
        <v>129</v>
      </c>
      <c r="D36" s="58" t="s">
        <v>166</v>
      </c>
      <c r="E36" s="57" t="s">
        <v>208</v>
      </c>
      <c r="F36" s="59" t="s">
        <v>215</v>
      </c>
      <c r="G36" s="60" t="s">
        <v>121</v>
      </c>
      <c r="H36" s="60" t="b">
        <v>0</v>
      </c>
      <c r="I36" s="60" t="b">
        <v>0</v>
      </c>
      <c r="J36" s="60" t="b">
        <v>0</v>
      </c>
      <c r="K36" s="60" t="b">
        <v>0</v>
      </c>
      <c r="L36" s="60" t="b">
        <v>0</v>
      </c>
      <c r="M36" s="60" t="b">
        <v>0</v>
      </c>
      <c r="N36" s="60" t="b">
        <v>0</v>
      </c>
      <c r="O36" s="60" t="b">
        <v>0</v>
      </c>
      <c r="P36" s="60" t="b">
        <v>0</v>
      </c>
      <c r="Q36" s="60" t="b">
        <v>1</v>
      </c>
      <c r="R36" s="60" t="b">
        <v>0</v>
      </c>
      <c r="S36" s="60" t="b">
        <v>0</v>
      </c>
      <c r="T36" s="60" t="b">
        <v>0</v>
      </c>
      <c r="U36" s="60" t="b">
        <v>0</v>
      </c>
      <c r="V36" s="60" t="b">
        <v>0</v>
      </c>
      <c r="W36" s="60" t="b">
        <v>0</v>
      </c>
    </row>
    <row r="37" spans="1:23" ht="28" x14ac:dyDescent="0.15">
      <c r="A37" s="55" t="s">
        <v>216</v>
      </c>
      <c r="B37" s="56" t="s">
        <v>65</v>
      </c>
      <c r="C37" s="57" t="s">
        <v>129</v>
      </c>
      <c r="D37" s="58" t="s">
        <v>166</v>
      </c>
      <c r="E37" s="57" t="s">
        <v>208</v>
      </c>
      <c r="F37" s="59" t="s">
        <v>217</v>
      </c>
      <c r="G37" s="60" t="s">
        <v>120</v>
      </c>
      <c r="H37" s="60" t="b">
        <v>0</v>
      </c>
      <c r="I37" s="60" t="b">
        <v>0</v>
      </c>
      <c r="J37" s="60" t="b">
        <v>0</v>
      </c>
      <c r="K37" s="60" t="b">
        <v>0</v>
      </c>
      <c r="L37" s="60" t="b">
        <v>0</v>
      </c>
      <c r="M37" s="60" t="b">
        <v>0</v>
      </c>
      <c r="N37" s="60" t="b">
        <v>0</v>
      </c>
      <c r="O37" s="60" t="b">
        <v>0</v>
      </c>
      <c r="P37" s="60" t="b">
        <v>1</v>
      </c>
      <c r="Q37" s="60" t="b">
        <v>0</v>
      </c>
      <c r="R37" s="60" t="b">
        <v>0</v>
      </c>
      <c r="S37" s="60" t="b">
        <v>0</v>
      </c>
      <c r="T37" s="60" t="b">
        <v>0</v>
      </c>
      <c r="U37" s="60" t="b">
        <v>0</v>
      </c>
      <c r="V37" s="60" t="b">
        <v>0</v>
      </c>
      <c r="W37" s="60" t="b">
        <v>0</v>
      </c>
    </row>
    <row r="38" spans="1:23" ht="84" x14ac:dyDescent="0.15">
      <c r="A38" s="55" t="s">
        <v>218</v>
      </c>
      <c r="B38" s="56" t="s">
        <v>65</v>
      </c>
      <c r="C38" s="57" t="s">
        <v>129</v>
      </c>
      <c r="D38" s="58" t="s">
        <v>166</v>
      </c>
      <c r="E38" s="57" t="s">
        <v>219</v>
      </c>
      <c r="F38" s="59" t="s">
        <v>220</v>
      </c>
      <c r="G38" s="60" t="s">
        <v>121</v>
      </c>
      <c r="H38" s="60" t="b">
        <v>0</v>
      </c>
      <c r="I38" s="60" t="b">
        <v>0</v>
      </c>
      <c r="J38" s="60" t="b">
        <v>0</v>
      </c>
      <c r="K38" s="60" t="b">
        <v>0</v>
      </c>
      <c r="L38" s="60" t="b">
        <v>0</v>
      </c>
      <c r="M38" s="60" t="b">
        <v>0</v>
      </c>
      <c r="N38" s="60" t="b">
        <v>0</v>
      </c>
      <c r="O38" s="60" t="b">
        <v>0</v>
      </c>
      <c r="P38" s="60" t="b">
        <v>0</v>
      </c>
      <c r="Q38" s="60" t="b">
        <v>1</v>
      </c>
      <c r="R38" s="60" t="b">
        <v>0</v>
      </c>
      <c r="S38" s="60" t="b">
        <v>0</v>
      </c>
      <c r="T38" s="60" t="b">
        <v>0</v>
      </c>
      <c r="U38" s="60" t="b">
        <v>0</v>
      </c>
      <c r="V38" s="60" t="b">
        <v>0</v>
      </c>
      <c r="W38" s="60" t="b">
        <v>0</v>
      </c>
    </row>
    <row r="39" spans="1:23" ht="98" x14ac:dyDescent="0.15">
      <c r="A39" s="55" t="s">
        <v>221</v>
      </c>
      <c r="B39" s="56" t="s">
        <v>65</v>
      </c>
      <c r="C39" s="57" t="s">
        <v>129</v>
      </c>
      <c r="D39" s="58" t="s">
        <v>166</v>
      </c>
      <c r="E39" s="57" t="s">
        <v>222</v>
      </c>
      <c r="F39" s="59" t="s">
        <v>223</v>
      </c>
      <c r="G39" s="60" t="s">
        <v>121</v>
      </c>
      <c r="H39" s="60" t="b">
        <v>0</v>
      </c>
      <c r="I39" s="60" t="b">
        <v>0</v>
      </c>
      <c r="J39" s="60" t="b">
        <v>0</v>
      </c>
      <c r="K39" s="60" t="b">
        <v>0</v>
      </c>
      <c r="L39" s="60" t="b">
        <v>0</v>
      </c>
      <c r="M39" s="60" t="b">
        <v>0</v>
      </c>
      <c r="N39" s="60" t="b">
        <v>0</v>
      </c>
      <c r="O39" s="60" t="b">
        <v>0</v>
      </c>
      <c r="P39" s="60" t="b">
        <v>0</v>
      </c>
      <c r="Q39" s="60" t="b">
        <v>1</v>
      </c>
      <c r="R39" s="60" t="b">
        <v>0</v>
      </c>
      <c r="S39" s="60" t="b">
        <v>0</v>
      </c>
      <c r="T39" s="60" t="b">
        <v>0</v>
      </c>
      <c r="U39" s="60" t="b">
        <v>0</v>
      </c>
      <c r="V39" s="60" t="b">
        <v>0</v>
      </c>
      <c r="W39" s="60" t="b">
        <v>0</v>
      </c>
    </row>
    <row r="40" spans="1:23" ht="56" x14ac:dyDescent="0.15">
      <c r="A40" s="55" t="s">
        <v>224</v>
      </c>
      <c r="B40" s="56" t="s">
        <v>65</v>
      </c>
      <c r="C40" s="57" t="s">
        <v>129</v>
      </c>
      <c r="D40" s="58" t="s">
        <v>166</v>
      </c>
      <c r="E40" s="57" t="s">
        <v>225</v>
      </c>
      <c r="F40" s="59" t="s">
        <v>226</v>
      </c>
      <c r="G40" s="60" t="s">
        <v>121</v>
      </c>
      <c r="H40" s="60" t="b">
        <v>0</v>
      </c>
      <c r="I40" s="60" t="b">
        <v>0</v>
      </c>
      <c r="J40" s="60" t="b">
        <v>0</v>
      </c>
      <c r="K40" s="60" t="b">
        <v>0</v>
      </c>
      <c r="L40" s="60" t="b">
        <v>0</v>
      </c>
      <c r="M40" s="60" t="b">
        <v>0</v>
      </c>
      <c r="N40" s="60" t="b">
        <v>0</v>
      </c>
      <c r="O40" s="60" t="b">
        <v>0</v>
      </c>
      <c r="P40" s="60" t="b">
        <v>0</v>
      </c>
      <c r="Q40" s="60" t="b">
        <v>1</v>
      </c>
      <c r="R40" s="60" t="b">
        <v>0</v>
      </c>
      <c r="S40" s="60" t="b">
        <v>0</v>
      </c>
      <c r="T40" s="60" t="b">
        <v>0</v>
      </c>
      <c r="U40" s="60" t="b">
        <v>0</v>
      </c>
      <c r="V40" s="60" t="b">
        <v>0</v>
      </c>
      <c r="W40" s="60" t="b">
        <v>0</v>
      </c>
    </row>
    <row r="41" spans="1:23" ht="28" x14ac:dyDescent="0.15">
      <c r="A41" s="55" t="s">
        <v>227</v>
      </c>
      <c r="B41" s="56" t="s">
        <v>65</v>
      </c>
      <c r="C41" s="57" t="s">
        <v>129</v>
      </c>
      <c r="D41" s="58" t="s">
        <v>166</v>
      </c>
      <c r="E41" s="57" t="s">
        <v>228</v>
      </c>
      <c r="F41" s="59" t="s">
        <v>229</v>
      </c>
      <c r="G41" s="60" t="s">
        <v>124</v>
      </c>
      <c r="H41" s="60" t="b">
        <v>0</v>
      </c>
      <c r="I41" s="60" t="b">
        <v>0</v>
      </c>
      <c r="J41" s="60" t="b">
        <v>0</v>
      </c>
      <c r="K41" s="60" t="b">
        <v>0</v>
      </c>
      <c r="L41" s="60" t="b">
        <v>0</v>
      </c>
      <c r="M41" s="60" t="b">
        <v>0</v>
      </c>
      <c r="N41" s="60" t="b">
        <v>0</v>
      </c>
      <c r="O41" s="60" t="b">
        <v>0</v>
      </c>
      <c r="P41" s="60" t="b">
        <v>0</v>
      </c>
      <c r="Q41" s="60" t="b">
        <v>0</v>
      </c>
      <c r="R41" s="60" t="b">
        <v>0</v>
      </c>
      <c r="S41" s="60" t="b">
        <v>0</v>
      </c>
      <c r="T41" s="60" t="b">
        <v>1</v>
      </c>
      <c r="U41" s="60" t="b">
        <v>0</v>
      </c>
      <c r="V41" s="60" t="b">
        <v>0</v>
      </c>
      <c r="W41" s="60" t="b">
        <v>0</v>
      </c>
    </row>
    <row r="42" spans="1:23" ht="28" x14ac:dyDescent="0.15">
      <c r="A42" s="55" t="s">
        <v>230</v>
      </c>
      <c r="B42" s="56" t="s">
        <v>65</v>
      </c>
      <c r="C42" s="57" t="s">
        <v>129</v>
      </c>
      <c r="D42" s="58" t="s">
        <v>166</v>
      </c>
      <c r="E42" s="57" t="s">
        <v>228</v>
      </c>
      <c r="F42" s="59" t="s">
        <v>231</v>
      </c>
      <c r="G42" s="60" t="s">
        <v>124</v>
      </c>
      <c r="H42" s="60" t="b">
        <v>0</v>
      </c>
      <c r="I42" s="60" t="b">
        <v>0</v>
      </c>
      <c r="J42" s="60" t="b">
        <v>0</v>
      </c>
      <c r="K42" s="60" t="b">
        <v>0</v>
      </c>
      <c r="L42" s="60" t="b">
        <v>0</v>
      </c>
      <c r="M42" s="60" t="b">
        <v>0</v>
      </c>
      <c r="N42" s="60" t="b">
        <v>0</v>
      </c>
      <c r="O42" s="60" t="b">
        <v>0</v>
      </c>
      <c r="P42" s="60" t="b">
        <v>0</v>
      </c>
      <c r="Q42" s="60" t="b">
        <v>0</v>
      </c>
      <c r="R42" s="60" t="b">
        <v>0</v>
      </c>
      <c r="S42" s="60" t="b">
        <v>0</v>
      </c>
      <c r="T42" s="60" t="b">
        <v>1</v>
      </c>
      <c r="U42" s="60" t="b">
        <v>0</v>
      </c>
      <c r="V42" s="60" t="b">
        <v>0</v>
      </c>
      <c r="W42" s="60" t="b">
        <v>0</v>
      </c>
    </row>
    <row r="43" spans="1:23" ht="28" x14ac:dyDescent="0.15">
      <c r="A43" s="55" t="s">
        <v>232</v>
      </c>
      <c r="B43" s="56" t="s">
        <v>65</v>
      </c>
      <c r="C43" s="57" t="s">
        <v>129</v>
      </c>
      <c r="D43" s="58" t="s">
        <v>166</v>
      </c>
      <c r="E43" s="57" t="s">
        <v>228</v>
      </c>
      <c r="F43" s="59" t="s">
        <v>233</v>
      </c>
      <c r="G43" s="60" t="s">
        <v>234</v>
      </c>
      <c r="H43" s="60" t="b">
        <v>0</v>
      </c>
      <c r="I43" s="60" t="b">
        <v>0</v>
      </c>
      <c r="J43" s="60" t="b">
        <v>0</v>
      </c>
      <c r="K43" s="60" t="b">
        <v>0</v>
      </c>
      <c r="L43" s="60" t="b">
        <v>0</v>
      </c>
      <c r="M43" s="60" t="b">
        <v>0</v>
      </c>
      <c r="N43" s="60" t="b">
        <v>0</v>
      </c>
      <c r="O43" s="60" t="b">
        <v>0</v>
      </c>
      <c r="P43" s="60" t="b">
        <v>0</v>
      </c>
      <c r="Q43" s="60" t="b">
        <v>0</v>
      </c>
      <c r="R43" s="60" t="b">
        <v>0</v>
      </c>
      <c r="S43" s="60" t="b">
        <v>0</v>
      </c>
      <c r="T43" s="60" t="b">
        <v>1</v>
      </c>
      <c r="U43" s="60" t="b">
        <v>0</v>
      </c>
      <c r="V43" s="60" t="b">
        <v>0</v>
      </c>
      <c r="W43" s="60" t="b">
        <v>0</v>
      </c>
    </row>
    <row r="44" spans="1:23" ht="28" x14ac:dyDescent="0.15">
      <c r="A44" s="55" t="s">
        <v>235</v>
      </c>
      <c r="B44" s="56" t="s">
        <v>65</v>
      </c>
      <c r="C44" s="57" t="s">
        <v>129</v>
      </c>
      <c r="D44" s="58" t="s">
        <v>166</v>
      </c>
      <c r="E44" s="57" t="s">
        <v>228</v>
      </c>
      <c r="F44" s="59" t="s">
        <v>236</v>
      </c>
      <c r="G44" s="60" t="s">
        <v>120</v>
      </c>
      <c r="H44" s="60" t="b">
        <v>0</v>
      </c>
      <c r="I44" s="60" t="b">
        <v>0</v>
      </c>
      <c r="J44" s="60" t="b">
        <v>0</v>
      </c>
      <c r="K44" s="60" t="b">
        <v>0</v>
      </c>
      <c r="L44" s="60" t="b">
        <v>0</v>
      </c>
      <c r="M44" s="60" t="b">
        <v>0</v>
      </c>
      <c r="N44" s="60" t="b">
        <v>0</v>
      </c>
      <c r="O44" s="60" t="b">
        <v>0</v>
      </c>
      <c r="P44" s="60" t="b">
        <v>1</v>
      </c>
      <c r="Q44" s="60" t="b">
        <v>0</v>
      </c>
      <c r="R44" s="60" t="b">
        <v>0</v>
      </c>
      <c r="S44" s="60" t="b">
        <v>0</v>
      </c>
      <c r="T44" s="60" t="b">
        <v>0</v>
      </c>
      <c r="U44" s="60" t="b">
        <v>0</v>
      </c>
      <c r="V44" s="60" t="b">
        <v>0</v>
      </c>
      <c r="W44" s="60" t="b">
        <v>0</v>
      </c>
    </row>
    <row r="45" spans="1:23" ht="28" x14ac:dyDescent="0.15">
      <c r="A45" s="55" t="s">
        <v>237</v>
      </c>
      <c r="B45" s="56" t="s">
        <v>65</v>
      </c>
      <c r="C45" s="57" t="s">
        <v>129</v>
      </c>
      <c r="D45" s="58" t="s">
        <v>166</v>
      </c>
      <c r="E45" s="57" t="s">
        <v>228</v>
      </c>
      <c r="F45" s="59" t="s">
        <v>238</v>
      </c>
      <c r="G45" s="60" t="s">
        <v>120</v>
      </c>
      <c r="H45" s="60" t="b">
        <v>0</v>
      </c>
      <c r="I45" s="60" t="b">
        <v>0</v>
      </c>
      <c r="J45" s="60" t="b">
        <v>0</v>
      </c>
      <c r="K45" s="60" t="b">
        <v>0</v>
      </c>
      <c r="L45" s="60" t="b">
        <v>0</v>
      </c>
      <c r="M45" s="60" t="b">
        <v>0</v>
      </c>
      <c r="N45" s="60" t="b">
        <v>0</v>
      </c>
      <c r="O45" s="60" t="b">
        <v>0</v>
      </c>
      <c r="P45" s="60" t="b">
        <v>1</v>
      </c>
      <c r="Q45" s="60" t="b">
        <v>0</v>
      </c>
      <c r="R45" s="60" t="b">
        <v>0</v>
      </c>
      <c r="S45" s="60" t="b">
        <v>0</v>
      </c>
      <c r="T45" s="60" t="b">
        <v>0</v>
      </c>
      <c r="U45" s="60" t="b">
        <v>0</v>
      </c>
      <c r="V45" s="60" t="b">
        <v>0</v>
      </c>
      <c r="W45" s="60" t="b">
        <v>0</v>
      </c>
    </row>
    <row r="46" spans="1:23" ht="112" x14ac:dyDescent="0.15">
      <c r="A46" s="55" t="s">
        <v>239</v>
      </c>
      <c r="B46" s="56" t="s">
        <v>65</v>
      </c>
      <c r="C46" s="57" t="s">
        <v>129</v>
      </c>
      <c r="D46" s="58" t="s">
        <v>166</v>
      </c>
      <c r="E46" s="57" t="s">
        <v>228</v>
      </c>
      <c r="F46" s="59" t="s">
        <v>240</v>
      </c>
      <c r="G46" s="60" t="s">
        <v>234</v>
      </c>
      <c r="H46" s="60" t="b">
        <v>0</v>
      </c>
      <c r="I46" s="60" t="b">
        <v>0</v>
      </c>
      <c r="J46" s="60" t="b">
        <v>0</v>
      </c>
      <c r="K46" s="60" t="b">
        <v>0</v>
      </c>
      <c r="L46" s="60" t="b">
        <v>0</v>
      </c>
      <c r="M46" s="60" t="b">
        <v>0</v>
      </c>
      <c r="N46" s="60" t="b">
        <v>0</v>
      </c>
      <c r="O46" s="60" t="b">
        <v>0</v>
      </c>
      <c r="P46" s="60" t="b">
        <v>0</v>
      </c>
      <c r="Q46" s="60" t="b">
        <v>0</v>
      </c>
      <c r="R46" s="60" t="b">
        <v>0</v>
      </c>
      <c r="S46" s="60" t="b">
        <v>0</v>
      </c>
      <c r="T46" s="60" t="b">
        <v>1</v>
      </c>
      <c r="U46" s="60" t="b">
        <v>0</v>
      </c>
      <c r="V46" s="60" t="b">
        <v>0</v>
      </c>
      <c r="W46" s="60" t="b">
        <v>0</v>
      </c>
    </row>
    <row r="47" spans="1:23" ht="28" x14ac:dyDescent="0.15">
      <c r="A47" s="55" t="s">
        <v>241</v>
      </c>
      <c r="B47" s="56" t="s">
        <v>65</v>
      </c>
      <c r="C47" s="57" t="s">
        <v>129</v>
      </c>
      <c r="D47" s="58" t="s">
        <v>166</v>
      </c>
      <c r="E47" s="57" t="s">
        <v>228</v>
      </c>
      <c r="F47" s="59" t="s">
        <v>242</v>
      </c>
      <c r="G47" s="60" t="s">
        <v>121</v>
      </c>
      <c r="H47" s="60" t="b">
        <v>0</v>
      </c>
      <c r="I47" s="60" t="b">
        <v>0</v>
      </c>
      <c r="J47" s="60" t="b">
        <v>0</v>
      </c>
      <c r="K47" s="60" t="b">
        <v>0</v>
      </c>
      <c r="L47" s="60" t="b">
        <v>0</v>
      </c>
      <c r="M47" s="60" t="b">
        <v>0</v>
      </c>
      <c r="N47" s="60" t="b">
        <v>0</v>
      </c>
      <c r="O47" s="60" t="b">
        <v>0</v>
      </c>
      <c r="P47" s="60" t="b">
        <v>0</v>
      </c>
      <c r="Q47" s="60" t="b">
        <v>1</v>
      </c>
      <c r="R47" s="60" t="b">
        <v>0</v>
      </c>
      <c r="S47" s="60" t="b">
        <v>0</v>
      </c>
      <c r="T47" s="60" t="b">
        <v>0</v>
      </c>
      <c r="U47" s="60" t="b">
        <v>0</v>
      </c>
      <c r="V47" s="60" t="b">
        <v>0</v>
      </c>
      <c r="W47" s="60" t="b">
        <v>0</v>
      </c>
    </row>
    <row r="48" spans="1:23" ht="56" x14ac:dyDescent="0.15">
      <c r="A48" s="55" t="s">
        <v>243</v>
      </c>
      <c r="B48" s="56" t="s">
        <v>65</v>
      </c>
      <c r="C48" s="57" t="s">
        <v>244</v>
      </c>
      <c r="D48" s="58" t="s">
        <v>245</v>
      </c>
      <c r="E48" s="57" t="s">
        <v>246</v>
      </c>
      <c r="F48" s="59" t="s">
        <v>247</v>
      </c>
      <c r="G48" s="60" t="s">
        <v>114</v>
      </c>
      <c r="H48" s="60" t="b">
        <v>0</v>
      </c>
      <c r="I48" s="60" t="b">
        <v>0</v>
      </c>
      <c r="J48" s="60" t="b">
        <v>1</v>
      </c>
      <c r="K48" s="60" t="b">
        <v>0</v>
      </c>
      <c r="L48" s="60" t="b">
        <v>0</v>
      </c>
      <c r="M48" s="60" t="b">
        <v>0</v>
      </c>
      <c r="N48" s="60" t="b">
        <v>0</v>
      </c>
      <c r="O48" s="60" t="b">
        <v>0</v>
      </c>
      <c r="P48" s="60" t="b">
        <v>0</v>
      </c>
      <c r="Q48" s="60" t="b">
        <v>0</v>
      </c>
      <c r="R48" s="60" t="b">
        <v>0</v>
      </c>
      <c r="S48" s="60" t="b">
        <v>0</v>
      </c>
      <c r="T48" s="60" t="b">
        <v>0</v>
      </c>
      <c r="U48" s="60" t="b">
        <v>0</v>
      </c>
      <c r="V48" s="60" t="b">
        <v>0</v>
      </c>
      <c r="W48" s="60" t="b">
        <v>0</v>
      </c>
    </row>
    <row r="49" spans="1:23" ht="28" x14ac:dyDescent="0.15">
      <c r="A49" s="55" t="s">
        <v>248</v>
      </c>
      <c r="B49" s="56" t="s">
        <v>65</v>
      </c>
      <c r="C49" s="57" t="s">
        <v>244</v>
      </c>
      <c r="D49" s="58" t="s">
        <v>245</v>
      </c>
      <c r="E49" s="57" t="s">
        <v>246</v>
      </c>
      <c r="F49" s="59" t="s">
        <v>249</v>
      </c>
      <c r="G49" s="60" t="s">
        <v>114</v>
      </c>
      <c r="H49" s="60" t="b">
        <v>0</v>
      </c>
      <c r="I49" s="60" t="b">
        <v>0</v>
      </c>
      <c r="J49" s="60" t="b">
        <v>1</v>
      </c>
      <c r="K49" s="60" t="b">
        <v>0</v>
      </c>
      <c r="L49" s="60" t="b">
        <v>0</v>
      </c>
      <c r="M49" s="60" t="b">
        <v>0</v>
      </c>
      <c r="N49" s="60" t="b">
        <v>0</v>
      </c>
      <c r="O49" s="60" t="b">
        <v>0</v>
      </c>
      <c r="P49" s="60" t="b">
        <v>0</v>
      </c>
      <c r="Q49" s="60" t="b">
        <v>0</v>
      </c>
      <c r="R49" s="60" t="b">
        <v>0</v>
      </c>
      <c r="S49" s="60" t="b">
        <v>0</v>
      </c>
      <c r="T49" s="60" t="b">
        <v>0</v>
      </c>
      <c r="U49" s="60" t="b">
        <v>0</v>
      </c>
      <c r="V49" s="60" t="b">
        <v>0</v>
      </c>
      <c r="W49" s="60" t="b">
        <v>0</v>
      </c>
    </row>
    <row r="50" spans="1:23" ht="28" x14ac:dyDescent="0.15">
      <c r="A50" s="55" t="s">
        <v>250</v>
      </c>
      <c r="B50" s="56" t="s">
        <v>65</v>
      </c>
      <c r="C50" s="57" t="s">
        <v>244</v>
      </c>
      <c r="D50" s="58" t="s">
        <v>245</v>
      </c>
      <c r="E50" s="57" t="s">
        <v>246</v>
      </c>
      <c r="F50" s="59" t="s">
        <v>251</v>
      </c>
      <c r="G50" s="60" t="s">
        <v>114</v>
      </c>
      <c r="H50" s="60" t="b">
        <v>0</v>
      </c>
      <c r="I50" s="60" t="b">
        <v>0</v>
      </c>
      <c r="J50" s="60" t="b">
        <v>1</v>
      </c>
      <c r="K50" s="60" t="b">
        <v>0</v>
      </c>
      <c r="L50" s="60" t="b">
        <v>0</v>
      </c>
      <c r="M50" s="60" t="b">
        <v>0</v>
      </c>
      <c r="N50" s="60" t="b">
        <v>0</v>
      </c>
      <c r="O50" s="60" t="b">
        <v>0</v>
      </c>
      <c r="P50" s="60" t="b">
        <v>0</v>
      </c>
      <c r="Q50" s="60" t="b">
        <v>0</v>
      </c>
      <c r="R50" s="60" t="b">
        <v>0</v>
      </c>
      <c r="S50" s="60" t="b">
        <v>0</v>
      </c>
      <c r="T50" s="60" t="b">
        <v>0</v>
      </c>
      <c r="U50" s="60" t="b">
        <v>0</v>
      </c>
      <c r="V50" s="60" t="b">
        <v>0</v>
      </c>
      <c r="W50" s="60" t="b">
        <v>0</v>
      </c>
    </row>
    <row r="51" spans="1:23" ht="28" x14ac:dyDescent="0.15">
      <c r="A51" s="55" t="s">
        <v>252</v>
      </c>
      <c r="B51" s="56" t="s">
        <v>65</v>
      </c>
      <c r="C51" s="57" t="s">
        <v>244</v>
      </c>
      <c r="D51" s="58" t="s">
        <v>245</v>
      </c>
      <c r="E51" s="57" t="s">
        <v>253</v>
      </c>
      <c r="F51" s="59" t="s">
        <v>254</v>
      </c>
      <c r="G51" s="60" t="s">
        <v>255</v>
      </c>
      <c r="H51" s="60" t="b">
        <v>0</v>
      </c>
      <c r="I51" s="60" t="b">
        <v>0</v>
      </c>
      <c r="J51" s="60" t="b">
        <v>0</v>
      </c>
      <c r="K51" s="60" t="b">
        <v>0</v>
      </c>
      <c r="L51" s="60" t="b">
        <v>0</v>
      </c>
      <c r="M51" s="60" t="b">
        <v>0</v>
      </c>
      <c r="N51" s="60" t="b">
        <v>0</v>
      </c>
      <c r="O51" s="60" t="b">
        <v>0</v>
      </c>
      <c r="P51" s="60" t="b">
        <v>0</v>
      </c>
      <c r="Q51" s="60" t="b">
        <v>0</v>
      </c>
      <c r="R51" s="60" t="b">
        <v>0</v>
      </c>
      <c r="S51" s="60" t="b">
        <v>0</v>
      </c>
      <c r="T51" s="60" t="b">
        <v>0</v>
      </c>
      <c r="U51" s="60" t="b">
        <v>0</v>
      </c>
      <c r="V51" s="60" t="b">
        <v>0</v>
      </c>
      <c r="W51" s="60" t="b">
        <v>0</v>
      </c>
    </row>
    <row r="52" spans="1:23" ht="28" x14ac:dyDescent="0.15">
      <c r="A52" s="55" t="s">
        <v>256</v>
      </c>
      <c r="B52" s="56" t="s">
        <v>65</v>
      </c>
      <c r="C52" s="57" t="s">
        <v>244</v>
      </c>
      <c r="D52" s="58" t="s">
        <v>245</v>
      </c>
      <c r="E52" s="57" t="s">
        <v>253</v>
      </c>
      <c r="F52" s="59" t="s">
        <v>257</v>
      </c>
      <c r="G52" s="60" t="s">
        <v>114</v>
      </c>
      <c r="H52" s="60" t="b">
        <v>0</v>
      </c>
      <c r="I52" s="60" t="b">
        <v>0</v>
      </c>
      <c r="J52" s="60" t="b">
        <v>1</v>
      </c>
      <c r="K52" s="60" t="b">
        <v>0</v>
      </c>
      <c r="L52" s="60" t="b">
        <v>0</v>
      </c>
      <c r="M52" s="60" t="b">
        <v>0</v>
      </c>
      <c r="N52" s="60" t="b">
        <v>0</v>
      </c>
      <c r="O52" s="60" t="b">
        <v>0</v>
      </c>
      <c r="P52" s="60" t="b">
        <v>0</v>
      </c>
      <c r="Q52" s="60" t="b">
        <v>0</v>
      </c>
      <c r="R52" s="60" t="b">
        <v>0</v>
      </c>
      <c r="S52" s="60" t="b">
        <v>0</v>
      </c>
      <c r="T52" s="60" t="b">
        <v>0</v>
      </c>
      <c r="U52" s="60" t="b">
        <v>0</v>
      </c>
      <c r="V52" s="60" t="b">
        <v>0</v>
      </c>
      <c r="W52" s="60" t="b">
        <v>0</v>
      </c>
    </row>
    <row r="53" spans="1:23" ht="56" x14ac:dyDescent="0.15">
      <c r="A53" s="55" t="s">
        <v>258</v>
      </c>
      <c r="B53" s="56" t="s">
        <v>65</v>
      </c>
      <c r="C53" s="57" t="s">
        <v>244</v>
      </c>
      <c r="D53" s="58" t="s">
        <v>245</v>
      </c>
      <c r="E53" s="57" t="s">
        <v>253</v>
      </c>
      <c r="F53" s="59" t="s">
        <v>259</v>
      </c>
      <c r="G53" s="60" t="s">
        <v>114</v>
      </c>
      <c r="H53" s="60" t="b">
        <v>0</v>
      </c>
      <c r="I53" s="60" t="b">
        <v>0</v>
      </c>
      <c r="J53" s="60" t="b">
        <v>1</v>
      </c>
      <c r="K53" s="60" t="b">
        <v>0</v>
      </c>
      <c r="L53" s="60" t="b">
        <v>0</v>
      </c>
      <c r="M53" s="60" t="b">
        <v>0</v>
      </c>
      <c r="N53" s="60" t="b">
        <v>0</v>
      </c>
      <c r="O53" s="60" t="b">
        <v>0</v>
      </c>
      <c r="P53" s="60" t="b">
        <v>0</v>
      </c>
      <c r="Q53" s="60" t="b">
        <v>0</v>
      </c>
      <c r="R53" s="60" t="b">
        <v>0</v>
      </c>
      <c r="S53" s="60" t="b">
        <v>0</v>
      </c>
      <c r="T53" s="60" t="b">
        <v>0</v>
      </c>
      <c r="U53" s="60" t="b">
        <v>0</v>
      </c>
      <c r="V53" s="60" t="b">
        <v>0</v>
      </c>
      <c r="W53" s="60" t="b">
        <v>0</v>
      </c>
    </row>
    <row r="54" spans="1:23" ht="42" x14ac:dyDescent="0.15">
      <c r="A54" s="55" t="s">
        <v>260</v>
      </c>
      <c r="B54" s="56" t="s">
        <v>65</v>
      </c>
      <c r="C54" s="57" t="s">
        <v>244</v>
      </c>
      <c r="D54" s="58" t="s">
        <v>245</v>
      </c>
      <c r="E54" s="57" t="s">
        <v>261</v>
      </c>
      <c r="F54" s="59" t="s">
        <v>262</v>
      </c>
      <c r="G54" s="60" t="s">
        <v>114</v>
      </c>
      <c r="H54" s="60" t="b">
        <v>0</v>
      </c>
      <c r="I54" s="60" t="b">
        <v>0</v>
      </c>
      <c r="J54" s="60" t="b">
        <v>1</v>
      </c>
      <c r="K54" s="60" t="b">
        <v>0</v>
      </c>
      <c r="L54" s="60" t="b">
        <v>0</v>
      </c>
      <c r="M54" s="60" t="b">
        <v>0</v>
      </c>
      <c r="N54" s="60" t="b">
        <v>0</v>
      </c>
      <c r="O54" s="60" t="b">
        <v>0</v>
      </c>
      <c r="P54" s="60" t="b">
        <v>0</v>
      </c>
      <c r="Q54" s="60" t="b">
        <v>0</v>
      </c>
      <c r="R54" s="60" t="b">
        <v>0</v>
      </c>
      <c r="S54" s="60" t="b">
        <v>0</v>
      </c>
      <c r="T54" s="60" t="b">
        <v>0</v>
      </c>
      <c r="U54" s="60" t="b">
        <v>0</v>
      </c>
      <c r="V54" s="60" t="b">
        <v>0</v>
      </c>
      <c r="W54" s="60" t="b">
        <v>0</v>
      </c>
    </row>
    <row r="55" spans="1:23" ht="168" x14ac:dyDescent="0.15">
      <c r="A55" s="55" t="s">
        <v>263</v>
      </c>
      <c r="B55" s="56" t="s">
        <v>65</v>
      </c>
      <c r="C55" s="57" t="s">
        <v>244</v>
      </c>
      <c r="D55" s="58" t="s">
        <v>245</v>
      </c>
      <c r="E55" s="57" t="s">
        <v>261</v>
      </c>
      <c r="F55" s="59" t="s">
        <v>264</v>
      </c>
      <c r="G55" s="60" t="s">
        <v>114</v>
      </c>
      <c r="H55" s="60" t="b">
        <v>0</v>
      </c>
      <c r="I55" s="60" t="b">
        <v>0</v>
      </c>
      <c r="J55" s="60" t="b">
        <v>1</v>
      </c>
      <c r="K55" s="60" t="b">
        <v>0</v>
      </c>
      <c r="L55" s="60" t="b">
        <v>0</v>
      </c>
      <c r="M55" s="60" t="b">
        <v>0</v>
      </c>
      <c r="N55" s="60" t="b">
        <v>0</v>
      </c>
      <c r="O55" s="60" t="b">
        <v>0</v>
      </c>
      <c r="P55" s="60" t="b">
        <v>0</v>
      </c>
      <c r="Q55" s="60" t="b">
        <v>0</v>
      </c>
      <c r="R55" s="60" t="b">
        <v>0</v>
      </c>
      <c r="S55" s="60" t="b">
        <v>0</v>
      </c>
      <c r="T55" s="60" t="b">
        <v>0</v>
      </c>
      <c r="U55" s="60" t="b">
        <v>0</v>
      </c>
      <c r="V55" s="60" t="b">
        <v>0</v>
      </c>
      <c r="W55" s="60" t="b">
        <v>0</v>
      </c>
    </row>
    <row r="56" spans="1:23" ht="28" x14ac:dyDescent="0.15">
      <c r="A56" s="55" t="s">
        <v>265</v>
      </c>
      <c r="B56" s="56" t="s">
        <v>65</v>
      </c>
      <c r="C56" s="57" t="s">
        <v>244</v>
      </c>
      <c r="D56" s="58" t="s">
        <v>245</v>
      </c>
      <c r="E56" s="57" t="s">
        <v>266</v>
      </c>
      <c r="F56" s="59" t="s">
        <v>267</v>
      </c>
      <c r="G56" s="60" t="s">
        <v>114</v>
      </c>
      <c r="H56" s="60" t="b">
        <v>0</v>
      </c>
      <c r="I56" s="60" t="b">
        <v>0</v>
      </c>
      <c r="J56" s="60" t="b">
        <v>1</v>
      </c>
      <c r="K56" s="60" t="b">
        <v>0</v>
      </c>
      <c r="L56" s="60" t="b">
        <v>0</v>
      </c>
      <c r="M56" s="60" t="b">
        <v>0</v>
      </c>
      <c r="N56" s="60" t="b">
        <v>0</v>
      </c>
      <c r="O56" s="60" t="b">
        <v>0</v>
      </c>
      <c r="P56" s="60" t="b">
        <v>0</v>
      </c>
      <c r="Q56" s="60" t="b">
        <v>0</v>
      </c>
      <c r="R56" s="60" t="b">
        <v>0</v>
      </c>
      <c r="S56" s="60" t="b">
        <v>0</v>
      </c>
      <c r="T56" s="60" t="b">
        <v>0</v>
      </c>
      <c r="U56" s="60" t="b">
        <v>0</v>
      </c>
      <c r="V56" s="60" t="b">
        <v>0</v>
      </c>
      <c r="W56" s="60" t="b">
        <v>0</v>
      </c>
    </row>
    <row r="57" spans="1:23" ht="28" x14ac:dyDescent="0.15">
      <c r="A57" s="55" t="s">
        <v>268</v>
      </c>
      <c r="B57" s="56" t="s">
        <v>65</v>
      </c>
      <c r="C57" s="57" t="s">
        <v>244</v>
      </c>
      <c r="D57" s="58" t="s">
        <v>245</v>
      </c>
      <c r="E57" s="57" t="s">
        <v>266</v>
      </c>
      <c r="F57" s="59" t="s">
        <v>269</v>
      </c>
      <c r="G57" s="60" t="s">
        <v>114</v>
      </c>
      <c r="H57" s="60" t="b">
        <v>0</v>
      </c>
      <c r="I57" s="60" t="b">
        <v>0</v>
      </c>
      <c r="J57" s="60" t="b">
        <v>1</v>
      </c>
      <c r="K57" s="60" t="b">
        <v>0</v>
      </c>
      <c r="L57" s="60" t="b">
        <v>0</v>
      </c>
      <c r="M57" s="60" t="b">
        <v>0</v>
      </c>
      <c r="N57" s="60" t="b">
        <v>0</v>
      </c>
      <c r="O57" s="60" t="b">
        <v>0</v>
      </c>
      <c r="P57" s="60" t="b">
        <v>0</v>
      </c>
      <c r="Q57" s="60" t="b">
        <v>0</v>
      </c>
      <c r="R57" s="60" t="b">
        <v>0</v>
      </c>
      <c r="S57" s="60" t="b">
        <v>0</v>
      </c>
      <c r="T57" s="60" t="b">
        <v>0</v>
      </c>
      <c r="U57" s="60" t="b">
        <v>0</v>
      </c>
      <c r="V57" s="60" t="b">
        <v>0</v>
      </c>
      <c r="W57" s="60" t="b">
        <v>0</v>
      </c>
    </row>
    <row r="58" spans="1:23" ht="28" x14ac:dyDescent="0.15">
      <c r="A58" s="55" t="s">
        <v>270</v>
      </c>
      <c r="B58" s="56" t="s">
        <v>65</v>
      </c>
      <c r="C58" s="57" t="s">
        <v>244</v>
      </c>
      <c r="D58" s="58" t="s">
        <v>245</v>
      </c>
      <c r="E58" s="57" t="s">
        <v>266</v>
      </c>
      <c r="F58" s="59" t="s">
        <v>271</v>
      </c>
      <c r="G58" s="60" t="s">
        <v>114</v>
      </c>
      <c r="H58" s="60" t="b">
        <v>0</v>
      </c>
      <c r="I58" s="60" t="b">
        <v>0</v>
      </c>
      <c r="J58" s="60" t="b">
        <v>1</v>
      </c>
      <c r="K58" s="60" t="b">
        <v>0</v>
      </c>
      <c r="L58" s="60" t="b">
        <v>0</v>
      </c>
      <c r="M58" s="60" t="b">
        <v>0</v>
      </c>
      <c r="N58" s="60" t="b">
        <v>0</v>
      </c>
      <c r="O58" s="60" t="b">
        <v>0</v>
      </c>
      <c r="P58" s="60" t="b">
        <v>0</v>
      </c>
      <c r="Q58" s="60" t="b">
        <v>0</v>
      </c>
      <c r="R58" s="60" t="b">
        <v>0</v>
      </c>
      <c r="S58" s="60" t="b">
        <v>0</v>
      </c>
      <c r="T58" s="60" t="b">
        <v>0</v>
      </c>
      <c r="U58" s="60" t="b">
        <v>0</v>
      </c>
      <c r="V58" s="60" t="b">
        <v>0</v>
      </c>
      <c r="W58" s="60" t="b">
        <v>0</v>
      </c>
    </row>
    <row r="59" spans="1:23" ht="70" x14ac:dyDescent="0.15">
      <c r="A59" s="55" t="s">
        <v>272</v>
      </c>
      <c r="B59" s="56" t="s">
        <v>65</v>
      </c>
      <c r="C59" s="57" t="s">
        <v>244</v>
      </c>
      <c r="D59" s="58" t="s">
        <v>245</v>
      </c>
      <c r="E59" s="57" t="s">
        <v>273</v>
      </c>
      <c r="F59" s="59" t="s">
        <v>274</v>
      </c>
      <c r="G59" s="60" t="s">
        <v>114</v>
      </c>
      <c r="H59" s="60" t="b">
        <v>0</v>
      </c>
      <c r="I59" s="60" t="b">
        <v>0</v>
      </c>
      <c r="J59" s="60" t="b">
        <v>1</v>
      </c>
      <c r="K59" s="60" t="b">
        <v>0</v>
      </c>
      <c r="L59" s="60" t="b">
        <v>0</v>
      </c>
      <c r="M59" s="60" t="b">
        <v>0</v>
      </c>
      <c r="N59" s="60" t="b">
        <v>0</v>
      </c>
      <c r="O59" s="60" t="b">
        <v>0</v>
      </c>
      <c r="P59" s="60" t="b">
        <v>0</v>
      </c>
      <c r="Q59" s="60" t="b">
        <v>0</v>
      </c>
      <c r="R59" s="60" t="b">
        <v>0</v>
      </c>
      <c r="S59" s="60" t="b">
        <v>0</v>
      </c>
      <c r="T59" s="60" t="b">
        <v>0</v>
      </c>
      <c r="U59" s="60" t="b">
        <v>0</v>
      </c>
      <c r="V59" s="60" t="b">
        <v>0</v>
      </c>
      <c r="W59" s="60" t="b">
        <v>0</v>
      </c>
    </row>
    <row r="60" spans="1:23" ht="42" x14ac:dyDescent="0.15">
      <c r="A60" s="55" t="s">
        <v>275</v>
      </c>
      <c r="B60" s="56" t="s">
        <v>65</v>
      </c>
      <c r="C60" s="57" t="s">
        <v>244</v>
      </c>
      <c r="D60" s="58" t="s">
        <v>245</v>
      </c>
      <c r="E60" s="57" t="s">
        <v>273</v>
      </c>
      <c r="F60" s="59" t="s">
        <v>276</v>
      </c>
      <c r="G60" s="60" t="s">
        <v>114</v>
      </c>
      <c r="H60" s="60" t="b">
        <v>0</v>
      </c>
      <c r="I60" s="60" t="b">
        <v>0</v>
      </c>
      <c r="J60" s="60" t="b">
        <v>1</v>
      </c>
      <c r="K60" s="60" t="b">
        <v>0</v>
      </c>
      <c r="L60" s="60" t="b">
        <v>0</v>
      </c>
      <c r="M60" s="60" t="b">
        <v>0</v>
      </c>
      <c r="N60" s="60" t="b">
        <v>0</v>
      </c>
      <c r="O60" s="60" t="b">
        <v>0</v>
      </c>
      <c r="P60" s="60" t="b">
        <v>0</v>
      </c>
      <c r="Q60" s="60" t="b">
        <v>0</v>
      </c>
      <c r="R60" s="60" t="b">
        <v>0</v>
      </c>
      <c r="S60" s="60" t="b">
        <v>0</v>
      </c>
      <c r="T60" s="60" t="b">
        <v>0</v>
      </c>
      <c r="U60" s="60" t="b">
        <v>0</v>
      </c>
      <c r="V60" s="60" t="b">
        <v>0</v>
      </c>
      <c r="W60" s="60" t="b">
        <v>0</v>
      </c>
    </row>
    <row r="61" spans="1:23" ht="70" x14ac:dyDescent="0.15">
      <c r="A61" s="55" t="s">
        <v>277</v>
      </c>
      <c r="B61" s="56" t="s">
        <v>65</v>
      </c>
      <c r="C61" s="57" t="s">
        <v>244</v>
      </c>
      <c r="D61" s="58" t="s">
        <v>245</v>
      </c>
      <c r="E61" s="57" t="s">
        <v>273</v>
      </c>
      <c r="F61" s="59" t="s">
        <v>278</v>
      </c>
      <c r="G61" s="60" t="s">
        <v>114</v>
      </c>
      <c r="H61" s="60" t="b">
        <v>0</v>
      </c>
      <c r="I61" s="60" t="b">
        <v>0</v>
      </c>
      <c r="J61" s="60" t="b">
        <v>1</v>
      </c>
      <c r="K61" s="60" t="b">
        <v>0</v>
      </c>
      <c r="L61" s="60" t="b">
        <v>0</v>
      </c>
      <c r="M61" s="60" t="b">
        <v>0</v>
      </c>
      <c r="N61" s="60" t="b">
        <v>0</v>
      </c>
      <c r="O61" s="60" t="b">
        <v>0</v>
      </c>
      <c r="P61" s="60" t="b">
        <v>0</v>
      </c>
      <c r="Q61" s="60" t="b">
        <v>0</v>
      </c>
      <c r="R61" s="60" t="b">
        <v>0</v>
      </c>
      <c r="S61" s="60" t="b">
        <v>0</v>
      </c>
      <c r="T61" s="60" t="b">
        <v>0</v>
      </c>
      <c r="U61" s="60" t="b">
        <v>0</v>
      </c>
      <c r="V61" s="60" t="b">
        <v>0</v>
      </c>
      <c r="W61" s="60" t="b">
        <v>0</v>
      </c>
    </row>
    <row r="62" spans="1:23" ht="42" x14ac:dyDescent="0.15">
      <c r="A62" s="55" t="s">
        <v>279</v>
      </c>
      <c r="B62" s="56" t="s">
        <v>65</v>
      </c>
      <c r="C62" s="57" t="s">
        <v>244</v>
      </c>
      <c r="D62" s="58" t="s">
        <v>245</v>
      </c>
      <c r="E62" s="57" t="s">
        <v>280</v>
      </c>
      <c r="F62" s="59" t="s">
        <v>281</v>
      </c>
      <c r="G62" s="60" t="s">
        <v>114</v>
      </c>
      <c r="H62" s="60" t="b">
        <v>0</v>
      </c>
      <c r="I62" s="60" t="b">
        <v>0</v>
      </c>
      <c r="J62" s="60" t="b">
        <v>1</v>
      </c>
      <c r="K62" s="60" t="b">
        <v>0</v>
      </c>
      <c r="L62" s="60" t="b">
        <v>0</v>
      </c>
      <c r="M62" s="60" t="b">
        <v>0</v>
      </c>
      <c r="N62" s="60" t="b">
        <v>0</v>
      </c>
      <c r="O62" s="60" t="b">
        <v>0</v>
      </c>
      <c r="P62" s="60" t="b">
        <v>0</v>
      </c>
      <c r="Q62" s="60" t="b">
        <v>0</v>
      </c>
      <c r="R62" s="60" t="b">
        <v>0</v>
      </c>
      <c r="S62" s="60" t="b">
        <v>0</v>
      </c>
      <c r="T62" s="60" t="b">
        <v>0</v>
      </c>
      <c r="U62" s="60" t="b">
        <v>0</v>
      </c>
      <c r="V62" s="60" t="b">
        <v>0</v>
      </c>
      <c r="W62" s="60" t="b">
        <v>0</v>
      </c>
    </row>
    <row r="63" spans="1:23" ht="98" x14ac:dyDescent="0.15">
      <c r="A63" s="55" t="s">
        <v>282</v>
      </c>
      <c r="B63" s="56" t="s">
        <v>65</v>
      </c>
      <c r="C63" s="57" t="s">
        <v>244</v>
      </c>
      <c r="D63" s="58" t="s">
        <v>245</v>
      </c>
      <c r="E63" s="57" t="s">
        <v>280</v>
      </c>
      <c r="F63" s="59" t="s">
        <v>283</v>
      </c>
      <c r="G63" s="60" t="s">
        <v>114</v>
      </c>
      <c r="H63" s="60" t="b">
        <v>0</v>
      </c>
      <c r="I63" s="60" t="b">
        <v>0</v>
      </c>
      <c r="J63" s="60" t="b">
        <v>1</v>
      </c>
      <c r="K63" s="60" t="b">
        <v>0</v>
      </c>
      <c r="L63" s="60" t="b">
        <v>0</v>
      </c>
      <c r="M63" s="60" t="b">
        <v>0</v>
      </c>
      <c r="N63" s="60" t="b">
        <v>0</v>
      </c>
      <c r="O63" s="60" t="b">
        <v>0</v>
      </c>
      <c r="P63" s="60" t="b">
        <v>0</v>
      </c>
      <c r="Q63" s="60" t="b">
        <v>0</v>
      </c>
      <c r="R63" s="60" t="b">
        <v>0</v>
      </c>
      <c r="S63" s="60" t="b">
        <v>0</v>
      </c>
      <c r="T63" s="60" t="b">
        <v>0</v>
      </c>
      <c r="U63" s="60" t="b">
        <v>0</v>
      </c>
      <c r="V63" s="60" t="b">
        <v>0</v>
      </c>
      <c r="W63" s="60" t="b">
        <v>0</v>
      </c>
    </row>
    <row r="64" spans="1:23" ht="28" x14ac:dyDescent="0.15">
      <c r="A64" s="55" t="s">
        <v>284</v>
      </c>
      <c r="B64" s="56" t="s">
        <v>65</v>
      </c>
      <c r="C64" s="57" t="s">
        <v>244</v>
      </c>
      <c r="D64" s="58" t="s">
        <v>245</v>
      </c>
      <c r="E64" s="57" t="s">
        <v>280</v>
      </c>
      <c r="F64" s="59" t="s">
        <v>285</v>
      </c>
      <c r="G64" s="60" t="s">
        <v>114</v>
      </c>
      <c r="H64" s="60" t="b">
        <v>0</v>
      </c>
      <c r="I64" s="60" t="b">
        <v>0</v>
      </c>
      <c r="J64" s="60" t="b">
        <v>1</v>
      </c>
      <c r="K64" s="60" t="b">
        <v>0</v>
      </c>
      <c r="L64" s="60" t="b">
        <v>0</v>
      </c>
      <c r="M64" s="60" t="b">
        <v>0</v>
      </c>
      <c r="N64" s="60" t="b">
        <v>0</v>
      </c>
      <c r="O64" s="60" t="b">
        <v>0</v>
      </c>
      <c r="P64" s="60" t="b">
        <v>0</v>
      </c>
      <c r="Q64" s="60" t="b">
        <v>0</v>
      </c>
      <c r="R64" s="60" t="b">
        <v>0</v>
      </c>
      <c r="S64" s="60" t="b">
        <v>0</v>
      </c>
      <c r="T64" s="60" t="b">
        <v>0</v>
      </c>
      <c r="U64" s="60" t="b">
        <v>0</v>
      </c>
      <c r="V64" s="60" t="b">
        <v>0</v>
      </c>
      <c r="W64" s="60" t="b">
        <v>0</v>
      </c>
    </row>
    <row r="65" spans="1:23" ht="42" x14ac:dyDescent="0.15">
      <c r="A65" s="55" t="s">
        <v>286</v>
      </c>
      <c r="B65" s="56" t="s">
        <v>65</v>
      </c>
      <c r="C65" s="57" t="s">
        <v>244</v>
      </c>
      <c r="D65" s="58" t="s">
        <v>245</v>
      </c>
      <c r="E65" s="57" t="s">
        <v>280</v>
      </c>
      <c r="F65" s="59" t="s">
        <v>287</v>
      </c>
      <c r="G65" s="60" t="s">
        <v>114</v>
      </c>
      <c r="H65" s="60" t="b">
        <v>0</v>
      </c>
      <c r="I65" s="60" t="b">
        <v>0</v>
      </c>
      <c r="J65" s="60" t="b">
        <v>1</v>
      </c>
      <c r="K65" s="60" t="b">
        <v>0</v>
      </c>
      <c r="L65" s="60" t="b">
        <v>0</v>
      </c>
      <c r="M65" s="60" t="b">
        <v>0</v>
      </c>
      <c r="N65" s="60" t="b">
        <v>0</v>
      </c>
      <c r="O65" s="60" t="b">
        <v>0</v>
      </c>
      <c r="P65" s="60" t="b">
        <v>0</v>
      </c>
      <c r="Q65" s="60" t="b">
        <v>0</v>
      </c>
      <c r="R65" s="60" t="b">
        <v>0</v>
      </c>
      <c r="S65" s="60" t="b">
        <v>0</v>
      </c>
      <c r="T65" s="60" t="b">
        <v>0</v>
      </c>
      <c r="U65" s="60" t="b">
        <v>0</v>
      </c>
      <c r="V65" s="60" t="b">
        <v>0</v>
      </c>
      <c r="W65" s="60" t="b">
        <v>0</v>
      </c>
    </row>
    <row r="66" spans="1:23" ht="28" x14ac:dyDescent="0.15">
      <c r="A66" s="55" t="s">
        <v>288</v>
      </c>
      <c r="B66" s="56" t="s">
        <v>65</v>
      </c>
      <c r="C66" s="57" t="s">
        <v>244</v>
      </c>
      <c r="D66" s="58" t="s">
        <v>245</v>
      </c>
      <c r="E66" s="57" t="s">
        <v>280</v>
      </c>
      <c r="F66" s="59" t="s">
        <v>289</v>
      </c>
      <c r="G66" s="60" t="s">
        <v>114</v>
      </c>
      <c r="H66" s="60" t="b">
        <v>0</v>
      </c>
      <c r="I66" s="60" t="b">
        <v>0</v>
      </c>
      <c r="J66" s="60" t="b">
        <v>1</v>
      </c>
      <c r="K66" s="60" t="b">
        <v>0</v>
      </c>
      <c r="L66" s="60" t="b">
        <v>0</v>
      </c>
      <c r="M66" s="60" t="b">
        <v>0</v>
      </c>
      <c r="N66" s="60" t="b">
        <v>0</v>
      </c>
      <c r="O66" s="60" t="b">
        <v>0</v>
      </c>
      <c r="P66" s="60" t="b">
        <v>0</v>
      </c>
      <c r="Q66" s="60" t="b">
        <v>0</v>
      </c>
      <c r="R66" s="60" t="b">
        <v>0</v>
      </c>
      <c r="S66" s="60" t="b">
        <v>0</v>
      </c>
      <c r="T66" s="60" t="b">
        <v>0</v>
      </c>
      <c r="U66" s="60" t="b">
        <v>0</v>
      </c>
      <c r="V66" s="60" t="b">
        <v>0</v>
      </c>
      <c r="W66" s="60" t="b">
        <v>0</v>
      </c>
    </row>
    <row r="67" spans="1:23" ht="14" x14ac:dyDescent="0.15">
      <c r="A67" s="55" t="s">
        <v>290</v>
      </c>
      <c r="B67" s="56" t="s">
        <v>65</v>
      </c>
      <c r="C67" s="57" t="s">
        <v>244</v>
      </c>
      <c r="D67" s="58" t="s">
        <v>245</v>
      </c>
      <c r="E67" s="57" t="s">
        <v>280</v>
      </c>
      <c r="F67" s="59" t="s">
        <v>291</v>
      </c>
      <c r="G67" s="60" t="s">
        <v>114</v>
      </c>
      <c r="H67" s="60" t="b">
        <v>0</v>
      </c>
      <c r="I67" s="60" t="b">
        <v>0</v>
      </c>
      <c r="J67" s="60" t="b">
        <v>1</v>
      </c>
      <c r="K67" s="60" t="b">
        <v>0</v>
      </c>
      <c r="L67" s="60" t="b">
        <v>0</v>
      </c>
      <c r="M67" s="60" t="b">
        <v>0</v>
      </c>
      <c r="N67" s="60" t="b">
        <v>0</v>
      </c>
      <c r="O67" s="60" t="b">
        <v>0</v>
      </c>
      <c r="P67" s="60" t="b">
        <v>0</v>
      </c>
      <c r="Q67" s="60" t="b">
        <v>0</v>
      </c>
      <c r="R67" s="60" t="b">
        <v>0</v>
      </c>
      <c r="S67" s="60" t="b">
        <v>0</v>
      </c>
      <c r="T67" s="60" t="b">
        <v>0</v>
      </c>
      <c r="U67" s="60" t="b">
        <v>0</v>
      </c>
      <c r="V67" s="60" t="b">
        <v>0</v>
      </c>
      <c r="W67" s="60" t="b">
        <v>0</v>
      </c>
    </row>
    <row r="68" spans="1:23" ht="14" x14ac:dyDescent="0.15">
      <c r="A68" s="55" t="s">
        <v>292</v>
      </c>
      <c r="B68" s="56" t="s">
        <v>65</v>
      </c>
      <c r="C68" s="57" t="s">
        <v>244</v>
      </c>
      <c r="D68" s="58" t="s">
        <v>245</v>
      </c>
      <c r="E68" s="57" t="s">
        <v>280</v>
      </c>
      <c r="F68" s="59" t="s">
        <v>293</v>
      </c>
      <c r="G68" s="60" t="s">
        <v>114</v>
      </c>
      <c r="H68" s="60" t="b">
        <v>0</v>
      </c>
      <c r="I68" s="60" t="b">
        <v>0</v>
      </c>
      <c r="J68" s="60" t="b">
        <v>1</v>
      </c>
      <c r="K68" s="60" t="b">
        <v>0</v>
      </c>
      <c r="L68" s="60" t="b">
        <v>0</v>
      </c>
      <c r="M68" s="60" t="b">
        <v>0</v>
      </c>
      <c r="N68" s="60" t="b">
        <v>0</v>
      </c>
      <c r="O68" s="60" t="b">
        <v>0</v>
      </c>
      <c r="P68" s="60" t="b">
        <v>0</v>
      </c>
      <c r="Q68" s="60" t="b">
        <v>0</v>
      </c>
      <c r="R68" s="60" t="b">
        <v>0</v>
      </c>
      <c r="S68" s="60" t="b">
        <v>0</v>
      </c>
      <c r="T68" s="60" t="b">
        <v>0</v>
      </c>
      <c r="U68" s="60" t="b">
        <v>0</v>
      </c>
      <c r="V68" s="60" t="b">
        <v>0</v>
      </c>
      <c r="W68" s="60" t="b">
        <v>0</v>
      </c>
    </row>
    <row r="69" spans="1:23" ht="42" x14ac:dyDescent="0.15">
      <c r="A69" s="55" t="s">
        <v>294</v>
      </c>
      <c r="B69" s="56" t="s">
        <v>65</v>
      </c>
      <c r="C69" s="57" t="s">
        <v>244</v>
      </c>
      <c r="D69" s="58" t="s">
        <v>245</v>
      </c>
      <c r="E69" s="57" t="s">
        <v>295</v>
      </c>
      <c r="F69" s="59" t="s">
        <v>296</v>
      </c>
      <c r="G69" s="60" t="s">
        <v>114</v>
      </c>
      <c r="H69" s="60" t="b">
        <v>0</v>
      </c>
      <c r="I69" s="60" t="b">
        <v>0</v>
      </c>
      <c r="J69" s="60" t="b">
        <v>1</v>
      </c>
      <c r="K69" s="60" t="b">
        <v>0</v>
      </c>
      <c r="L69" s="60" t="b">
        <v>0</v>
      </c>
      <c r="M69" s="60" t="b">
        <v>0</v>
      </c>
      <c r="N69" s="60" t="b">
        <v>0</v>
      </c>
      <c r="O69" s="60" t="b">
        <v>0</v>
      </c>
      <c r="P69" s="60" t="b">
        <v>0</v>
      </c>
      <c r="Q69" s="60" t="b">
        <v>0</v>
      </c>
      <c r="R69" s="60" t="b">
        <v>0</v>
      </c>
      <c r="S69" s="60" t="b">
        <v>0</v>
      </c>
      <c r="T69" s="60" t="b">
        <v>0</v>
      </c>
      <c r="U69" s="60" t="b">
        <v>0</v>
      </c>
      <c r="V69" s="60" t="b">
        <v>0</v>
      </c>
      <c r="W69" s="60" t="b">
        <v>0</v>
      </c>
    </row>
    <row r="70" spans="1:23" ht="28" x14ac:dyDescent="0.15">
      <c r="A70" s="55" t="s">
        <v>297</v>
      </c>
      <c r="B70" s="56" t="s">
        <v>65</v>
      </c>
      <c r="C70" s="57" t="s">
        <v>244</v>
      </c>
      <c r="D70" s="58" t="s">
        <v>245</v>
      </c>
      <c r="E70" s="57" t="s">
        <v>295</v>
      </c>
      <c r="F70" s="59" t="s">
        <v>298</v>
      </c>
      <c r="G70" s="60" t="s">
        <v>114</v>
      </c>
      <c r="H70" s="60" t="b">
        <v>0</v>
      </c>
      <c r="I70" s="60" t="b">
        <v>0</v>
      </c>
      <c r="J70" s="60" t="b">
        <v>1</v>
      </c>
      <c r="K70" s="60" t="b">
        <v>0</v>
      </c>
      <c r="L70" s="60" t="b">
        <v>0</v>
      </c>
      <c r="M70" s="60" t="b">
        <v>0</v>
      </c>
      <c r="N70" s="60" t="b">
        <v>0</v>
      </c>
      <c r="O70" s="60" t="b">
        <v>0</v>
      </c>
      <c r="P70" s="60" t="b">
        <v>0</v>
      </c>
      <c r="Q70" s="60" t="b">
        <v>0</v>
      </c>
      <c r="R70" s="60" t="b">
        <v>0</v>
      </c>
      <c r="S70" s="60" t="b">
        <v>0</v>
      </c>
      <c r="T70" s="60" t="b">
        <v>0</v>
      </c>
      <c r="U70" s="60" t="b">
        <v>0</v>
      </c>
      <c r="V70" s="60" t="b">
        <v>0</v>
      </c>
      <c r="W70" s="60" t="b">
        <v>0</v>
      </c>
    </row>
    <row r="71" spans="1:23" ht="56" x14ac:dyDescent="0.15">
      <c r="A71" s="55" t="s">
        <v>299</v>
      </c>
      <c r="B71" s="56" t="s">
        <v>65</v>
      </c>
      <c r="C71" s="57" t="s">
        <v>244</v>
      </c>
      <c r="D71" s="58" t="s">
        <v>245</v>
      </c>
      <c r="E71" s="57" t="s">
        <v>295</v>
      </c>
      <c r="F71" s="59" t="s">
        <v>300</v>
      </c>
      <c r="G71" s="60" t="s">
        <v>114</v>
      </c>
      <c r="H71" s="60" t="b">
        <v>0</v>
      </c>
      <c r="I71" s="60" t="b">
        <v>0</v>
      </c>
      <c r="J71" s="60" t="b">
        <v>1</v>
      </c>
      <c r="K71" s="60" t="b">
        <v>0</v>
      </c>
      <c r="L71" s="60" t="b">
        <v>0</v>
      </c>
      <c r="M71" s="60" t="b">
        <v>0</v>
      </c>
      <c r="N71" s="60" t="b">
        <v>0</v>
      </c>
      <c r="O71" s="60" t="b">
        <v>0</v>
      </c>
      <c r="P71" s="60" t="b">
        <v>0</v>
      </c>
      <c r="Q71" s="60" t="b">
        <v>0</v>
      </c>
      <c r="R71" s="60" t="b">
        <v>0</v>
      </c>
      <c r="S71" s="60" t="b">
        <v>0</v>
      </c>
      <c r="T71" s="60" t="b">
        <v>0</v>
      </c>
      <c r="U71" s="60" t="b">
        <v>0</v>
      </c>
      <c r="V71" s="60" t="b">
        <v>0</v>
      </c>
      <c r="W71" s="60" t="b">
        <v>0</v>
      </c>
    </row>
    <row r="72" spans="1:23" ht="28" x14ac:dyDescent="0.15">
      <c r="A72" s="55" t="s">
        <v>301</v>
      </c>
      <c r="B72" s="56" t="s">
        <v>65</v>
      </c>
      <c r="C72" s="57" t="s">
        <v>244</v>
      </c>
      <c r="D72" s="58" t="s">
        <v>245</v>
      </c>
      <c r="E72" s="57" t="s">
        <v>295</v>
      </c>
      <c r="F72" s="59" t="s">
        <v>302</v>
      </c>
      <c r="G72" s="60" t="s">
        <v>114</v>
      </c>
      <c r="H72" s="60" t="b">
        <v>0</v>
      </c>
      <c r="I72" s="60" t="b">
        <v>0</v>
      </c>
      <c r="J72" s="60" t="b">
        <v>1</v>
      </c>
      <c r="K72" s="60" t="b">
        <v>0</v>
      </c>
      <c r="L72" s="60" t="b">
        <v>0</v>
      </c>
      <c r="M72" s="60" t="b">
        <v>0</v>
      </c>
      <c r="N72" s="60" t="b">
        <v>0</v>
      </c>
      <c r="O72" s="60" t="b">
        <v>0</v>
      </c>
      <c r="P72" s="60" t="b">
        <v>0</v>
      </c>
      <c r="Q72" s="60" t="b">
        <v>0</v>
      </c>
      <c r="R72" s="60" t="b">
        <v>0</v>
      </c>
      <c r="S72" s="60" t="b">
        <v>0</v>
      </c>
      <c r="T72" s="60" t="b">
        <v>0</v>
      </c>
      <c r="U72" s="60" t="b">
        <v>0</v>
      </c>
      <c r="V72" s="60" t="b">
        <v>0</v>
      </c>
      <c r="W72" s="60" t="b">
        <v>0</v>
      </c>
    </row>
    <row r="73" spans="1:23" ht="70" x14ac:dyDescent="0.15">
      <c r="A73" s="55" t="s">
        <v>303</v>
      </c>
      <c r="B73" s="56" t="s">
        <v>65</v>
      </c>
      <c r="C73" s="57" t="s">
        <v>244</v>
      </c>
      <c r="D73" s="58" t="s">
        <v>245</v>
      </c>
      <c r="E73" s="57" t="s">
        <v>304</v>
      </c>
      <c r="F73" s="59" t="s">
        <v>305</v>
      </c>
      <c r="G73" s="61"/>
      <c r="H73" s="60" t="b">
        <v>0</v>
      </c>
      <c r="I73" s="60" t="b">
        <v>0</v>
      </c>
      <c r="J73" s="60" t="b">
        <v>0</v>
      </c>
      <c r="K73" s="60" t="b">
        <v>0</v>
      </c>
      <c r="L73" s="60" t="b">
        <v>0</v>
      </c>
      <c r="M73" s="60" t="b">
        <v>0</v>
      </c>
      <c r="N73" s="60" t="b">
        <v>0</v>
      </c>
      <c r="O73" s="60" t="b">
        <v>0</v>
      </c>
      <c r="P73" s="60" t="b">
        <v>0</v>
      </c>
      <c r="Q73" s="60" t="b">
        <v>0</v>
      </c>
      <c r="R73" s="60" t="b">
        <v>0</v>
      </c>
      <c r="S73" s="60" t="b">
        <v>0</v>
      </c>
      <c r="T73" s="60" t="b">
        <v>0</v>
      </c>
      <c r="U73" s="60" t="b">
        <v>0</v>
      </c>
      <c r="V73" s="60" t="b">
        <v>0</v>
      </c>
      <c r="W73" s="60" t="b">
        <v>0</v>
      </c>
    </row>
    <row r="74" spans="1:23" ht="56" x14ac:dyDescent="0.15">
      <c r="A74" s="55" t="s">
        <v>306</v>
      </c>
      <c r="B74" s="56" t="s">
        <v>65</v>
      </c>
      <c r="C74" s="57" t="s">
        <v>244</v>
      </c>
      <c r="D74" s="58" t="s">
        <v>245</v>
      </c>
      <c r="E74" s="57" t="s">
        <v>304</v>
      </c>
      <c r="F74" s="59" t="s">
        <v>307</v>
      </c>
      <c r="G74" s="61"/>
      <c r="H74" s="60" t="b">
        <v>0</v>
      </c>
      <c r="I74" s="60" t="b">
        <v>0</v>
      </c>
      <c r="J74" s="60" t="b">
        <v>0</v>
      </c>
      <c r="K74" s="60" t="b">
        <v>0</v>
      </c>
      <c r="L74" s="60" t="b">
        <v>0</v>
      </c>
      <c r="M74" s="60" t="b">
        <v>0</v>
      </c>
      <c r="N74" s="60" t="b">
        <v>0</v>
      </c>
      <c r="O74" s="60" t="b">
        <v>0</v>
      </c>
      <c r="P74" s="60" t="b">
        <v>0</v>
      </c>
      <c r="Q74" s="60" t="b">
        <v>0</v>
      </c>
      <c r="R74" s="60" t="b">
        <v>0</v>
      </c>
      <c r="S74" s="60" t="b">
        <v>0</v>
      </c>
      <c r="T74" s="60" t="b">
        <v>0</v>
      </c>
      <c r="U74" s="60" t="b">
        <v>0</v>
      </c>
      <c r="V74" s="60" t="b">
        <v>0</v>
      </c>
      <c r="W74" s="60" t="b">
        <v>0</v>
      </c>
    </row>
    <row r="75" spans="1:23" ht="98" x14ac:dyDescent="0.15">
      <c r="A75" s="55" t="s">
        <v>308</v>
      </c>
      <c r="B75" s="56" t="s">
        <v>65</v>
      </c>
      <c r="C75" s="57" t="s">
        <v>244</v>
      </c>
      <c r="D75" s="58" t="s">
        <v>245</v>
      </c>
      <c r="E75" s="57" t="s">
        <v>304</v>
      </c>
      <c r="F75" s="59" t="s">
        <v>309</v>
      </c>
      <c r="G75" s="61"/>
      <c r="H75" s="60" t="b">
        <v>0</v>
      </c>
      <c r="I75" s="60" t="b">
        <v>0</v>
      </c>
      <c r="J75" s="60" t="b">
        <v>0</v>
      </c>
      <c r="K75" s="60" t="b">
        <v>0</v>
      </c>
      <c r="L75" s="60" t="b">
        <v>0</v>
      </c>
      <c r="M75" s="60" t="b">
        <v>0</v>
      </c>
      <c r="N75" s="60" t="b">
        <v>0</v>
      </c>
      <c r="O75" s="60" t="b">
        <v>0</v>
      </c>
      <c r="P75" s="60" t="b">
        <v>0</v>
      </c>
      <c r="Q75" s="60" t="b">
        <v>0</v>
      </c>
      <c r="R75" s="60" t="b">
        <v>0</v>
      </c>
      <c r="S75" s="60" t="b">
        <v>0</v>
      </c>
      <c r="T75" s="60" t="b">
        <v>0</v>
      </c>
      <c r="U75" s="60" t="b">
        <v>0</v>
      </c>
      <c r="V75" s="60" t="b">
        <v>0</v>
      </c>
      <c r="W75" s="60" t="b">
        <v>0</v>
      </c>
    </row>
    <row r="76" spans="1:23" ht="28" x14ac:dyDescent="0.15">
      <c r="A76" s="55" t="s">
        <v>310</v>
      </c>
      <c r="B76" s="56" t="s">
        <v>65</v>
      </c>
      <c r="C76" s="57" t="s">
        <v>244</v>
      </c>
      <c r="D76" s="58" t="s">
        <v>245</v>
      </c>
      <c r="E76" s="57" t="s">
        <v>304</v>
      </c>
      <c r="F76" s="59" t="s">
        <v>311</v>
      </c>
      <c r="G76" s="61"/>
      <c r="H76" s="60" t="b">
        <v>0</v>
      </c>
      <c r="I76" s="60" t="b">
        <v>0</v>
      </c>
      <c r="J76" s="60" t="b">
        <v>0</v>
      </c>
      <c r="K76" s="60" t="b">
        <v>0</v>
      </c>
      <c r="L76" s="60" t="b">
        <v>0</v>
      </c>
      <c r="M76" s="60" t="b">
        <v>0</v>
      </c>
      <c r="N76" s="60" t="b">
        <v>0</v>
      </c>
      <c r="O76" s="60" t="b">
        <v>0</v>
      </c>
      <c r="P76" s="60" t="b">
        <v>0</v>
      </c>
      <c r="Q76" s="60" t="b">
        <v>0</v>
      </c>
      <c r="R76" s="60" t="b">
        <v>0</v>
      </c>
      <c r="S76" s="60" t="b">
        <v>0</v>
      </c>
      <c r="T76" s="60" t="b">
        <v>0</v>
      </c>
      <c r="U76" s="60" t="b">
        <v>0</v>
      </c>
      <c r="V76" s="60" t="b">
        <v>0</v>
      </c>
      <c r="W76" s="60" t="b">
        <v>0</v>
      </c>
    </row>
    <row r="77" spans="1:23" ht="14" x14ac:dyDescent="0.15">
      <c r="A77" s="55" t="s">
        <v>312</v>
      </c>
      <c r="B77" s="56" t="s">
        <v>65</v>
      </c>
      <c r="C77" s="57" t="s">
        <v>244</v>
      </c>
      <c r="D77" s="58" t="s">
        <v>245</v>
      </c>
      <c r="E77" s="57" t="s">
        <v>304</v>
      </c>
      <c r="F77" s="59" t="s">
        <v>313</v>
      </c>
      <c r="G77" s="61"/>
      <c r="H77" s="60" t="b">
        <v>0</v>
      </c>
      <c r="I77" s="60" t="b">
        <v>0</v>
      </c>
      <c r="J77" s="60" t="b">
        <v>0</v>
      </c>
      <c r="K77" s="60" t="b">
        <v>0</v>
      </c>
      <c r="L77" s="60" t="b">
        <v>0</v>
      </c>
      <c r="M77" s="60" t="b">
        <v>0</v>
      </c>
      <c r="N77" s="60" t="b">
        <v>0</v>
      </c>
      <c r="O77" s="60" t="b">
        <v>0</v>
      </c>
      <c r="P77" s="60" t="b">
        <v>0</v>
      </c>
      <c r="Q77" s="60" t="b">
        <v>0</v>
      </c>
      <c r="R77" s="60" t="b">
        <v>0</v>
      </c>
      <c r="S77" s="60" t="b">
        <v>0</v>
      </c>
      <c r="T77" s="60" t="b">
        <v>0</v>
      </c>
      <c r="U77" s="60" t="b">
        <v>0</v>
      </c>
      <c r="V77" s="60" t="b">
        <v>0</v>
      </c>
      <c r="W77" s="60" t="b">
        <v>0</v>
      </c>
    </row>
    <row r="78" spans="1:23" ht="28" x14ac:dyDescent="0.15">
      <c r="A78" s="62" t="s">
        <v>314</v>
      </c>
      <c r="B78" s="63" t="s">
        <v>65</v>
      </c>
      <c r="C78" s="64" t="s">
        <v>244</v>
      </c>
      <c r="D78" s="65" t="s">
        <v>315</v>
      </c>
      <c r="E78" s="64" t="s">
        <v>316</v>
      </c>
      <c r="F78" s="59" t="s">
        <v>317</v>
      </c>
      <c r="G78" s="60"/>
      <c r="H78" s="60" t="b">
        <v>0</v>
      </c>
      <c r="I78" s="60" t="b">
        <v>0</v>
      </c>
      <c r="J78" s="60" t="b">
        <v>0</v>
      </c>
      <c r="K78" s="60" t="b">
        <v>0</v>
      </c>
      <c r="L78" s="60" t="b">
        <v>0</v>
      </c>
      <c r="M78" s="60" t="b">
        <v>0</v>
      </c>
      <c r="N78" s="60" t="b">
        <v>0</v>
      </c>
      <c r="O78" s="60" t="b">
        <v>0</v>
      </c>
      <c r="P78" s="60" t="b">
        <v>0</v>
      </c>
      <c r="Q78" s="60" t="b">
        <v>0</v>
      </c>
      <c r="R78" s="60" t="b">
        <v>0</v>
      </c>
      <c r="S78" s="60" t="b">
        <v>0</v>
      </c>
      <c r="T78" s="60" t="b">
        <v>0</v>
      </c>
      <c r="U78" s="60" t="b">
        <v>0</v>
      </c>
      <c r="V78" s="60" t="b">
        <v>0</v>
      </c>
      <c r="W78" s="60" t="b">
        <v>0</v>
      </c>
    </row>
    <row r="79" spans="1:23" ht="70" x14ac:dyDescent="0.15">
      <c r="A79" s="55" t="s">
        <v>318</v>
      </c>
      <c r="B79" s="56" t="s">
        <v>65</v>
      </c>
      <c r="C79" s="57" t="s">
        <v>244</v>
      </c>
      <c r="D79" s="58" t="s">
        <v>315</v>
      </c>
      <c r="E79" s="57" t="s">
        <v>82</v>
      </c>
      <c r="F79" s="59" t="s">
        <v>319</v>
      </c>
      <c r="G79" s="60" t="s">
        <v>320</v>
      </c>
      <c r="H79" s="60" t="b">
        <v>0</v>
      </c>
      <c r="I79" s="60" t="b">
        <v>1</v>
      </c>
      <c r="J79" s="60" t="b">
        <v>0</v>
      </c>
      <c r="K79" s="60" t="b">
        <v>0</v>
      </c>
      <c r="L79" s="60" t="b">
        <v>0</v>
      </c>
      <c r="M79" s="60" t="b">
        <v>0</v>
      </c>
      <c r="N79" s="60" t="b">
        <v>0</v>
      </c>
      <c r="O79" s="60" t="b">
        <v>0</v>
      </c>
      <c r="P79" s="60" t="b">
        <v>0</v>
      </c>
      <c r="Q79" s="60" t="b">
        <v>0</v>
      </c>
      <c r="R79" s="60" t="b">
        <v>0</v>
      </c>
      <c r="S79" s="60" t="b">
        <v>1</v>
      </c>
      <c r="T79" s="60" t="b">
        <v>0</v>
      </c>
      <c r="U79" s="60" t="b">
        <v>0</v>
      </c>
      <c r="V79" s="60" t="b">
        <v>0</v>
      </c>
      <c r="W79" s="60" t="b">
        <v>0</v>
      </c>
    </row>
    <row r="80" spans="1:23" ht="70" x14ac:dyDescent="0.15">
      <c r="A80" s="55" t="s">
        <v>321</v>
      </c>
      <c r="B80" s="56" t="s">
        <v>65</v>
      </c>
      <c r="C80" s="57" t="s">
        <v>244</v>
      </c>
      <c r="D80" s="58" t="s">
        <v>315</v>
      </c>
      <c r="E80" s="57" t="s">
        <v>82</v>
      </c>
      <c r="F80" s="59" t="s">
        <v>322</v>
      </c>
      <c r="G80" s="60" t="s">
        <v>113</v>
      </c>
      <c r="H80" s="60" t="b">
        <v>0</v>
      </c>
      <c r="I80" s="60" t="b">
        <v>1</v>
      </c>
      <c r="J80" s="60" t="b">
        <v>0</v>
      </c>
      <c r="K80" s="60" t="b">
        <v>0</v>
      </c>
      <c r="L80" s="60" t="b">
        <v>0</v>
      </c>
      <c r="M80" s="60" t="b">
        <v>0</v>
      </c>
      <c r="N80" s="60" t="b">
        <v>0</v>
      </c>
      <c r="O80" s="60" t="b">
        <v>0</v>
      </c>
      <c r="P80" s="60" t="b">
        <v>0</v>
      </c>
      <c r="Q80" s="60" t="b">
        <v>0</v>
      </c>
      <c r="R80" s="60" t="b">
        <v>0</v>
      </c>
      <c r="S80" s="60" t="b">
        <v>0</v>
      </c>
      <c r="T80" s="60" t="b">
        <v>0</v>
      </c>
      <c r="U80" s="60" t="b">
        <v>0</v>
      </c>
      <c r="V80" s="60" t="b">
        <v>0</v>
      </c>
      <c r="W80" s="60" t="b">
        <v>0</v>
      </c>
    </row>
    <row r="81" spans="1:23" ht="168" x14ac:dyDescent="0.15">
      <c r="A81" s="62" t="s">
        <v>323</v>
      </c>
      <c r="B81" s="63" t="s">
        <v>65</v>
      </c>
      <c r="C81" s="64" t="s">
        <v>244</v>
      </c>
      <c r="D81" s="65" t="s">
        <v>315</v>
      </c>
      <c r="E81" s="64" t="s">
        <v>82</v>
      </c>
      <c r="F81" s="59" t="s">
        <v>324</v>
      </c>
      <c r="G81" s="60" t="s">
        <v>113</v>
      </c>
      <c r="H81" s="60" t="b">
        <v>0</v>
      </c>
      <c r="I81" s="60" t="b">
        <v>1</v>
      </c>
      <c r="J81" s="60" t="b">
        <v>0</v>
      </c>
      <c r="K81" s="60" t="b">
        <v>0</v>
      </c>
      <c r="L81" s="60" t="b">
        <v>0</v>
      </c>
      <c r="M81" s="60" t="b">
        <v>0</v>
      </c>
      <c r="N81" s="60" t="b">
        <v>0</v>
      </c>
      <c r="O81" s="60" t="b">
        <v>0</v>
      </c>
      <c r="P81" s="60" t="b">
        <v>0</v>
      </c>
      <c r="Q81" s="60" t="b">
        <v>0</v>
      </c>
      <c r="R81" s="60" t="b">
        <v>0</v>
      </c>
      <c r="S81" s="60" t="b">
        <v>0</v>
      </c>
      <c r="T81" s="60" t="b">
        <v>0</v>
      </c>
      <c r="U81" s="60" t="b">
        <v>0</v>
      </c>
      <c r="V81" s="60" t="b">
        <v>0</v>
      </c>
      <c r="W81" s="60" t="b">
        <v>0</v>
      </c>
    </row>
    <row r="82" spans="1:23" ht="42" x14ac:dyDescent="0.15">
      <c r="A82" s="62" t="s">
        <v>325</v>
      </c>
      <c r="B82" s="63" t="s">
        <v>65</v>
      </c>
      <c r="C82" s="64" t="s">
        <v>244</v>
      </c>
      <c r="D82" s="65" t="s">
        <v>315</v>
      </c>
      <c r="E82" s="64" t="s">
        <v>82</v>
      </c>
      <c r="F82" s="59" t="s">
        <v>326</v>
      </c>
      <c r="G82" s="60" t="s">
        <v>121</v>
      </c>
      <c r="H82" s="60" t="b">
        <v>0</v>
      </c>
      <c r="I82" s="60" t="b">
        <v>0</v>
      </c>
      <c r="J82" s="60" t="b">
        <v>0</v>
      </c>
      <c r="K82" s="60" t="b">
        <v>0</v>
      </c>
      <c r="L82" s="60" t="b">
        <v>0</v>
      </c>
      <c r="M82" s="60" t="b">
        <v>0</v>
      </c>
      <c r="N82" s="60" t="b">
        <v>0</v>
      </c>
      <c r="O82" s="60" t="b">
        <v>0</v>
      </c>
      <c r="P82" s="60" t="b">
        <v>0</v>
      </c>
      <c r="Q82" s="60" t="b">
        <v>1</v>
      </c>
      <c r="R82" s="60" t="b">
        <v>0</v>
      </c>
      <c r="S82" s="60" t="b">
        <v>0</v>
      </c>
      <c r="T82" s="60" t="b">
        <v>0</v>
      </c>
      <c r="U82" s="60" t="b">
        <v>0</v>
      </c>
      <c r="V82" s="60" t="b">
        <v>0</v>
      </c>
      <c r="W82" s="60" t="b">
        <v>0</v>
      </c>
    </row>
    <row r="83" spans="1:23" ht="56" x14ac:dyDescent="0.15">
      <c r="A83" s="62" t="s">
        <v>327</v>
      </c>
      <c r="B83" s="63" t="s">
        <v>65</v>
      </c>
      <c r="C83" s="64" t="s">
        <v>244</v>
      </c>
      <c r="D83" s="65" t="s">
        <v>315</v>
      </c>
      <c r="E83" s="64" t="s">
        <v>82</v>
      </c>
      <c r="F83" s="59" t="s">
        <v>328</v>
      </c>
      <c r="G83" s="60" t="s">
        <v>113</v>
      </c>
      <c r="H83" s="60" t="b">
        <v>0</v>
      </c>
      <c r="I83" s="60" t="b">
        <v>1</v>
      </c>
      <c r="J83" s="60" t="b">
        <v>0</v>
      </c>
      <c r="K83" s="60" t="b">
        <v>0</v>
      </c>
      <c r="L83" s="60" t="b">
        <v>0</v>
      </c>
      <c r="M83" s="60" t="b">
        <v>0</v>
      </c>
      <c r="N83" s="60" t="b">
        <v>0</v>
      </c>
      <c r="O83" s="60" t="b">
        <v>0</v>
      </c>
      <c r="P83" s="60" t="b">
        <v>0</v>
      </c>
      <c r="Q83" s="60" t="b">
        <v>0</v>
      </c>
      <c r="R83" s="60" t="b">
        <v>0</v>
      </c>
      <c r="S83" s="60" t="b">
        <v>0</v>
      </c>
      <c r="T83" s="60" t="b">
        <v>0</v>
      </c>
      <c r="U83" s="60" t="b">
        <v>0</v>
      </c>
      <c r="V83" s="60" t="b">
        <v>0</v>
      </c>
      <c r="W83" s="60" t="b">
        <v>0</v>
      </c>
    </row>
    <row r="84" spans="1:23" ht="70" x14ac:dyDescent="0.15">
      <c r="A84" s="62" t="s">
        <v>329</v>
      </c>
      <c r="B84" s="63" t="s">
        <v>65</v>
      </c>
      <c r="C84" s="64" t="s">
        <v>244</v>
      </c>
      <c r="D84" s="65" t="s">
        <v>315</v>
      </c>
      <c r="E84" s="64" t="s">
        <v>330</v>
      </c>
      <c r="F84" s="59" t="s">
        <v>331</v>
      </c>
      <c r="G84" s="60" t="s">
        <v>332</v>
      </c>
      <c r="H84" s="60" t="b">
        <v>0</v>
      </c>
      <c r="I84" s="60" t="b">
        <v>0</v>
      </c>
      <c r="J84" s="60" t="b">
        <v>0</v>
      </c>
      <c r="K84" s="60" t="b">
        <v>0</v>
      </c>
      <c r="L84" s="60" t="b">
        <v>0</v>
      </c>
      <c r="M84" s="60" t="b">
        <v>0</v>
      </c>
      <c r="N84" s="60" t="b">
        <v>0</v>
      </c>
      <c r="O84" s="60" t="b">
        <v>0</v>
      </c>
      <c r="P84" s="60" t="b">
        <v>0</v>
      </c>
      <c r="Q84" s="60" t="b">
        <v>0</v>
      </c>
      <c r="R84" s="60" t="b">
        <v>0</v>
      </c>
      <c r="S84" s="60" t="b">
        <v>0</v>
      </c>
      <c r="T84" s="60" t="b">
        <v>0</v>
      </c>
      <c r="U84" s="60" t="b">
        <v>0</v>
      </c>
      <c r="V84" s="60" t="b">
        <v>0</v>
      </c>
      <c r="W84" s="60" t="b">
        <v>0</v>
      </c>
    </row>
    <row r="85" spans="1:23" ht="140" x14ac:dyDescent="0.15">
      <c r="A85" s="62" t="s">
        <v>333</v>
      </c>
      <c r="B85" s="63" t="s">
        <v>65</v>
      </c>
      <c r="C85" s="64" t="s">
        <v>244</v>
      </c>
      <c r="D85" s="65" t="s">
        <v>315</v>
      </c>
      <c r="E85" s="64" t="s">
        <v>330</v>
      </c>
      <c r="F85" s="59" t="s">
        <v>334</v>
      </c>
      <c r="G85" s="60" t="s">
        <v>113</v>
      </c>
      <c r="H85" s="60" t="b">
        <v>0</v>
      </c>
      <c r="I85" s="60" t="b">
        <v>1</v>
      </c>
      <c r="J85" s="60" t="b">
        <v>0</v>
      </c>
      <c r="K85" s="60" t="b">
        <v>0</v>
      </c>
      <c r="L85" s="60" t="b">
        <v>0</v>
      </c>
      <c r="M85" s="60" t="b">
        <v>0</v>
      </c>
      <c r="N85" s="60" t="b">
        <v>0</v>
      </c>
      <c r="O85" s="60" t="b">
        <v>0</v>
      </c>
      <c r="P85" s="60" t="b">
        <v>0</v>
      </c>
      <c r="Q85" s="60" t="b">
        <v>0</v>
      </c>
      <c r="R85" s="60" t="b">
        <v>0</v>
      </c>
      <c r="S85" s="60" t="b">
        <v>0</v>
      </c>
      <c r="T85" s="60" t="b">
        <v>0</v>
      </c>
      <c r="U85" s="60" t="b">
        <v>0</v>
      </c>
      <c r="V85" s="60" t="b">
        <v>0</v>
      </c>
      <c r="W85" s="60" t="b">
        <v>0</v>
      </c>
    </row>
    <row r="86" spans="1:23" ht="98" x14ac:dyDescent="0.15">
      <c r="A86" s="62" t="s">
        <v>335</v>
      </c>
      <c r="B86" s="63" t="s">
        <v>65</v>
      </c>
      <c r="C86" s="64" t="s">
        <v>244</v>
      </c>
      <c r="D86" s="65" t="s">
        <v>315</v>
      </c>
      <c r="E86" s="64" t="s">
        <v>336</v>
      </c>
      <c r="F86" s="59" t="s">
        <v>337</v>
      </c>
      <c r="G86" s="60" t="s">
        <v>120</v>
      </c>
      <c r="H86" s="60" t="b">
        <v>0</v>
      </c>
      <c r="I86" s="60" t="b">
        <v>0</v>
      </c>
      <c r="J86" s="60" t="b">
        <v>0</v>
      </c>
      <c r="K86" s="60" t="b">
        <v>0</v>
      </c>
      <c r="L86" s="60" t="b">
        <v>0</v>
      </c>
      <c r="M86" s="60" t="b">
        <v>0</v>
      </c>
      <c r="N86" s="60" t="b">
        <v>0</v>
      </c>
      <c r="O86" s="60" t="b">
        <v>0</v>
      </c>
      <c r="P86" s="60" t="b">
        <v>1</v>
      </c>
      <c r="Q86" s="60" t="b">
        <v>0</v>
      </c>
      <c r="R86" s="60" t="b">
        <v>0</v>
      </c>
      <c r="S86" s="60" t="b">
        <v>0</v>
      </c>
      <c r="T86" s="60" t="b">
        <v>0</v>
      </c>
      <c r="U86" s="60" t="b">
        <v>0</v>
      </c>
      <c r="V86" s="60" t="b">
        <v>0</v>
      </c>
      <c r="W86" s="60" t="b">
        <v>0</v>
      </c>
    </row>
    <row r="87" spans="1:23" ht="56" x14ac:dyDescent="0.15">
      <c r="A87" s="62" t="s">
        <v>338</v>
      </c>
      <c r="B87" s="63" t="s">
        <v>65</v>
      </c>
      <c r="C87" s="64" t="s">
        <v>244</v>
      </c>
      <c r="D87" s="65" t="s">
        <v>315</v>
      </c>
      <c r="E87" s="64" t="s">
        <v>336</v>
      </c>
      <c r="F87" s="59" t="s">
        <v>339</v>
      </c>
      <c r="G87" s="60" t="s">
        <v>113</v>
      </c>
      <c r="H87" s="60" t="b">
        <v>0</v>
      </c>
      <c r="I87" s="60" t="b">
        <v>1</v>
      </c>
      <c r="J87" s="60" t="b">
        <v>0</v>
      </c>
      <c r="K87" s="60" t="b">
        <v>0</v>
      </c>
      <c r="L87" s="60" t="b">
        <v>0</v>
      </c>
      <c r="M87" s="60" t="b">
        <v>0</v>
      </c>
      <c r="N87" s="60" t="b">
        <v>0</v>
      </c>
      <c r="O87" s="60" t="b">
        <v>0</v>
      </c>
      <c r="P87" s="60" t="b">
        <v>0</v>
      </c>
      <c r="Q87" s="60" t="b">
        <v>0</v>
      </c>
      <c r="R87" s="60" t="b">
        <v>0</v>
      </c>
      <c r="S87" s="60" t="b">
        <v>0</v>
      </c>
      <c r="T87" s="60" t="b">
        <v>0</v>
      </c>
      <c r="U87" s="60" t="b">
        <v>0</v>
      </c>
      <c r="V87" s="60" t="b">
        <v>0</v>
      </c>
      <c r="W87" s="60" t="b">
        <v>0</v>
      </c>
    </row>
    <row r="88" spans="1:23" ht="84" x14ac:dyDescent="0.15">
      <c r="A88" s="62" t="s">
        <v>340</v>
      </c>
      <c r="B88" s="63" t="s">
        <v>65</v>
      </c>
      <c r="C88" s="64" t="s">
        <v>244</v>
      </c>
      <c r="D88" s="65" t="s">
        <v>315</v>
      </c>
      <c r="E88" s="64" t="s">
        <v>336</v>
      </c>
      <c r="F88" s="59" t="s">
        <v>341</v>
      </c>
      <c r="G88" s="60" t="s">
        <v>120</v>
      </c>
      <c r="H88" s="60" t="b">
        <v>0</v>
      </c>
      <c r="I88" s="60" t="b">
        <v>0</v>
      </c>
      <c r="J88" s="60" t="b">
        <v>0</v>
      </c>
      <c r="K88" s="60" t="b">
        <v>0</v>
      </c>
      <c r="L88" s="60" t="b">
        <v>0</v>
      </c>
      <c r="M88" s="60" t="b">
        <v>0</v>
      </c>
      <c r="N88" s="60" t="b">
        <v>0</v>
      </c>
      <c r="O88" s="60" t="b">
        <v>0</v>
      </c>
      <c r="P88" s="60" t="b">
        <v>1</v>
      </c>
      <c r="Q88" s="60" t="b">
        <v>0</v>
      </c>
      <c r="R88" s="60" t="b">
        <v>0</v>
      </c>
      <c r="S88" s="60" t="b">
        <v>0</v>
      </c>
      <c r="T88" s="60" t="b">
        <v>0</v>
      </c>
      <c r="U88" s="60" t="b">
        <v>0</v>
      </c>
      <c r="V88" s="60" t="b">
        <v>0</v>
      </c>
      <c r="W88" s="60" t="b">
        <v>0</v>
      </c>
    </row>
    <row r="89" spans="1:23" ht="56" x14ac:dyDescent="0.15">
      <c r="A89" s="62" t="s">
        <v>342</v>
      </c>
      <c r="B89" s="63" t="s">
        <v>65</v>
      </c>
      <c r="C89" s="64" t="s">
        <v>244</v>
      </c>
      <c r="D89" s="65" t="s">
        <v>315</v>
      </c>
      <c r="E89" s="64" t="s">
        <v>336</v>
      </c>
      <c r="F89" s="59" t="s">
        <v>343</v>
      </c>
      <c r="G89" s="60" t="s">
        <v>120</v>
      </c>
      <c r="H89" s="60" t="b">
        <v>0</v>
      </c>
      <c r="I89" s="60" t="b">
        <v>0</v>
      </c>
      <c r="J89" s="60" t="b">
        <v>0</v>
      </c>
      <c r="K89" s="60" t="b">
        <v>0</v>
      </c>
      <c r="L89" s="60" t="b">
        <v>0</v>
      </c>
      <c r="M89" s="60" t="b">
        <v>0</v>
      </c>
      <c r="N89" s="60" t="b">
        <v>0</v>
      </c>
      <c r="O89" s="60" t="b">
        <v>0</v>
      </c>
      <c r="P89" s="60" t="b">
        <v>1</v>
      </c>
      <c r="Q89" s="60" t="b">
        <v>0</v>
      </c>
      <c r="R89" s="60" t="b">
        <v>0</v>
      </c>
      <c r="S89" s="60" t="b">
        <v>0</v>
      </c>
      <c r="T89" s="60" t="b">
        <v>0</v>
      </c>
      <c r="U89" s="60" t="b">
        <v>0</v>
      </c>
      <c r="V89" s="60" t="b">
        <v>0</v>
      </c>
      <c r="W89" s="60" t="b">
        <v>0</v>
      </c>
    </row>
    <row r="90" spans="1:23" ht="154" x14ac:dyDescent="0.15">
      <c r="A90" s="62" t="s">
        <v>344</v>
      </c>
      <c r="B90" s="63" t="s">
        <v>65</v>
      </c>
      <c r="C90" s="64" t="s">
        <v>244</v>
      </c>
      <c r="D90" s="65" t="s">
        <v>315</v>
      </c>
      <c r="E90" s="64" t="s">
        <v>336</v>
      </c>
      <c r="F90" s="59" t="s">
        <v>345</v>
      </c>
      <c r="G90" s="60" t="s">
        <v>120</v>
      </c>
      <c r="H90" s="60" t="b">
        <v>0</v>
      </c>
      <c r="I90" s="60" t="b">
        <v>0</v>
      </c>
      <c r="J90" s="60" t="b">
        <v>0</v>
      </c>
      <c r="K90" s="60" t="b">
        <v>0</v>
      </c>
      <c r="L90" s="60" t="b">
        <v>0</v>
      </c>
      <c r="M90" s="60" t="b">
        <v>0</v>
      </c>
      <c r="N90" s="60" t="b">
        <v>0</v>
      </c>
      <c r="O90" s="60" t="b">
        <v>0</v>
      </c>
      <c r="P90" s="60" t="b">
        <v>1</v>
      </c>
      <c r="Q90" s="60" t="b">
        <v>0</v>
      </c>
      <c r="R90" s="60" t="b">
        <v>0</v>
      </c>
      <c r="S90" s="60" t="b">
        <v>0</v>
      </c>
      <c r="T90" s="60" t="b">
        <v>0</v>
      </c>
      <c r="U90" s="60" t="b">
        <v>0</v>
      </c>
      <c r="V90" s="60" t="b">
        <v>0</v>
      </c>
      <c r="W90" s="60" t="b">
        <v>0</v>
      </c>
    </row>
    <row r="91" spans="1:23" ht="112" x14ac:dyDescent="0.15">
      <c r="A91" s="62" t="s">
        <v>346</v>
      </c>
      <c r="B91" s="63" t="s">
        <v>65</v>
      </c>
      <c r="C91" s="64" t="s">
        <v>244</v>
      </c>
      <c r="D91" s="65" t="s">
        <v>315</v>
      </c>
      <c r="E91" s="64" t="s">
        <v>74</v>
      </c>
      <c r="F91" s="59" t="s">
        <v>347</v>
      </c>
      <c r="G91" s="60" t="s">
        <v>113</v>
      </c>
      <c r="H91" s="60" t="b">
        <v>0</v>
      </c>
      <c r="I91" s="60" t="b">
        <v>1</v>
      </c>
      <c r="J91" s="60" t="b">
        <v>0</v>
      </c>
      <c r="K91" s="60" t="b">
        <v>0</v>
      </c>
      <c r="L91" s="60" t="b">
        <v>0</v>
      </c>
      <c r="M91" s="60" t="b">
        <v>0</v>
      </c>
      <c r="N91" s="60" t="b">
        <v>0</v>
      </c>
      <c r="O91" s="60" t="b">
        <v>0</v>
      </c>
      <c r="P91" s="60" t="b">
        <v>0</v>
      </c>
      <c r="Q91" s="60" t="b">
        <v>0</v>
      </c>
      <c r="R91" s="60" t="b">
        <v>0</v>
      </c>
      <c r="S91" s="60" t="b">
        <v>0</v>
      </c>
      <c r="T91" s="60" t="b">
        <v>0</v>
      </c>
      <c r="U91" s="60" t="b">
        <v>0</v>
      </c>
      <c r="V91" s="60" t="b">
        <v>0</v>
      </c>
      <c r="W91" s="60" t="b">
        <v>0</v>
      </c>
    </row>
    <row r="92" spans="1:23" ht="70" x14ac:dyDescent="0.15">
      <c r="A92" s="62" t="s">
        <v>348</v>
      </c>
      <c r="B92" s="63" t="s">
        <v>65</v>
      </c>
      <c r="C92" s="64" t="s">
        <v>244</v>
      </c>
      <c r="D92" s="65" t="s">
        <v>315</v>
      </c>
      <c r="E92" s="64" t="s">
        <v>74</v>
      </c>
      <c r="F92" s="59" t="s">
        <v>349</v>
      </c>
      <c r="G92" s="60" t="s">
        <v>113</v>
      </c>
      <c r="H92" s="60" t="b">
        <v>0</v>
      </c>
      <c r="I92" s="60" t="b">
        <v>1</v>
      </c>
      <c r="J92" s="60" t="b">
        <v>0</v>
      </c>
      <c r="K92" s="60" t="b">
        <v>0</v>
      </c>
      <c r="L92" s="60" t="b">
        <v>0</v>
      </c>
      <c r="M92" s="60" t="b">
        <v>0</v>
      </c>
      <c r="N92" s="60" t="b">
        <v>0</v>
      </c>
      <c r="O92" s="60" t="b">
        <v>0</v>
      </c>
      <c r="P92" s="60" t="b">
        <v>0</v>
      </c>
      <c r="Q92" s="60" t="b">
        <v>0</v>
      </c>
      <c r="R92" s="60" t="b">
        <v>0</v>
      </c>
      <c r="S92" s="60" t="b">
        <v>0</v>
      </c>
      <c r="T92" s="60" t="b">
        <v>0</v>
      </c>
      <c r="U92" s="60" t="b">
        <v>0</v>
      </c>
      <c r="V92" s="60" t="b">
        <v>0</v>
      </c>
      <c r="W92" s="60" t="b">
        <v>0</v>
      </c>
    </row>
    <row r="93" spans="1:23" ht="28" x14ac:dyDescent="0.15">
      <c r="A93" s="62" t="s">
        <v>350</v>
      </c>
      <c r="B93" s="63" t="s">
        <v>65</v>
      </c>
      <c r="C93" s="64" t="s">
        <v>244</v>
      </c>
      <c r="D93" s="65" t="s">
        <v>315</v>
      </c>
      <c r="E93" s="64" t="s">
        <v>74</v>
      </c>
      <c r="F93" s="59" t="s">
        <v>351</v>
      </c>
      <c r="G93" s="60" t="s">
        <v>113</v>
      </c>
      <c r="H93" s="60" t="b">
        <v>0</v>
      </c>
      <c r="I93" s="60" t="b">
        <v>1</v>
      </c>
      <c r="J93" s="60" t="b">
        <v>0</v>
      </c>
      <c r="K93" s="60" t="b">
        <v>0</v>
      </c>
      <c r="L93" s="60" t="b">
        <v>0</v>
      </c>
      <c r="M93" s="60" t="b">
        <v>0</v>
      </c>
      <c r="N93" s="60" t="b">
        <v>0</v>
      </c>
      <c r="O93" s="60" t="b">
        <v>0</v>
      </c>
      <c r="P93" s="60" t="b">
        <v>0</v>
      </c>
      <c r="Q93" s="60" t="b">
        <v>0</v>
      </c>
      <c r="R93" s="60" t="b">
        <v>0</v>
      </c>
      <c r="S93" s="60" t="b">
        <v>0</v>
      </c>
      <c r="T93" s="60" t="b">
        <v>0</v>
      </c>
      <c r="U93" s="60" t="b">
        <v>0</v>
      </c>
      <c r="V93" s="60" t="b">
        <v>0</v>
      </c>
      <c r="W93" s="60" t="b">
        <v>0</v>
      </c>
    </row>
    <row r="94" spans="1:23" ht="112" x14ac:dyDescent="0.15">
      <c r="A94" s="62" t="s">
        <v>352</v>
      </c>
      <c r="B94" s="63" t="s">
        <v>65</v>
      </c>
      <c r="C94" s="64" t="s">
        <v>244</v>
      </c>
      <c r="D94" s="65" t="s">
        <v>315</v>
      </c>
      <c r="E94" s="64" t="s">
        <v>74</v>
      </c>
      <c r="F94" s="59" t="s">
        <v>353</v>
      </c>
      <c r="G94" s="60" t="s">
        <v>113</v>
      </c>
      <c r="H94" s="60" t="b">
        <v>0</v>
      </c>
      <c r="I94" s="60" t="b">
        <v>1</v>
      </c>
      <c r="J94" s="60" t="b">
        <v>0</v>
      </c>
      <c r="K94" s="60" t="b">
        <v>0</v>
      </c>
      <c r="L94" s="60" t="b">
        <v>0</v>
      </c>
      <c r="M94" s="60" t="b">
        <v>0</v>
      </c>
      <c r="N94" s="60" t="b">
        <v>0</v>
      </c>
      <c r="O94" s="60" t="b">
        <v>0</v>
      </c>
      <c r="P94" s="60" t="b">
        <v>0</v>
      </c>
      <c r="Q94" s="60" t="b">
        <v>0</v>
      </c>
      <c r="R94" s="60" t="b">
        <v>0</v>
      </c>
      <c r="S94" s="60" t="b">
        <v>0</v>
      </c>
      <c r="T94" s="60" t="b">
        <v>0</v>
      </c>
      <c r="U94" s="60" t="b">
        <v>0</v>
      </c>
      <c r="V94" s="60" t="b">
        <v>0</v>
      </c>
      <c r="W94" s="60" t="b">
        <v>0</v>
      </c>
    </row>
    <row r="95" spans="1:23" ht="70" x14ac:dyDescent="0.15">
      <c r="A95" s="62" t="s">
        <v>354</v>
      </c>
      <c r="B95" s="63" t="s">
        <v>65</v>
      </c>
      <c r="C95" s="64" t="s">
        <v>244</v>
      </c>
      <c r="D95" s="65" t="s">
        <v>315</v>
      </c>
      <c r="E95" s="64" t="s">
        <v>74</v>
      </c>
      <c r="F95" s="59" t="s">
        <v>355</v>
      </c>
      <c r="G95" s="60" t="s">
        <v>113</v>
      </c>
      <c r="H95" s="60" t="b">
        <v>0</v>
      </c>
      <c r="I95" s="60" t="b">
        <v>1</v>
      </c>
      <c r="J95" s="60" t="b">
        <v>0</v>
      </c>
      <c r="K95" s="60" t="b">
        <v>0</v>
      </c>
      <c r="L95" s="60" t="b">
        <v>0</v>
      </c>
      <c r="M95" s="60" t="b">
        <v>0</v>
      </c>
      <c r="N95" s="60" t="b">
        <v>0</v>
      </c>
      <c r="O95" s="60" t="b">
        <v>0</v>
      </c>
      <c r="P95" s="60" t="b">
        <v>0</v>
      </c>
      <c r="Q95" s="60" t="b">
        <v>0</v>
      </c>
      <c r="R95" s="60" t="b">
        <v>0</v>
      </c>
      <c r="S95" s="60" t="b">
        <v>0</v>
      </c>
      <c r="T95" s="60" t="b">
        <v>0</v>
      </c>
      <c r="U95" s="60" t="b">
        <v>0</v>
      </c>
      <c r="V95" s="60" t="b">
        <v>0</v>
      </c>
      <c r="W95" s="60" t="b">
        <v>0</v>
      </c>
    </row>
    <row r="96" spans="1:23" ht="28" x14ac:dyDescent="0.15">
      <c r="A96" s="62" t="s">
        <v>356</v>
      </c>
      <c r="B96" s="63" t="s">
        <v>65</v>
      </c>
      <c r="C96" s="64" t="s">
        <v>244</v>
      </c>
      <c r="D96" s="65" t="s">
        <v>315</v>
      </c>
      <c r="E96" s="64" t="s">
        <v>74</v>
      </c>
      <c r="F96" s="59" t="s">
        <v>357</v>
      </c>
      <c r="G96" s="60" t="s">
        <v>113</v>
      </c>
      <c r="H96" s="60" t="b">
        <v>0</v>
      </c>
      <c r="I96" s="60" t="b">
        <v>1</v>
      </c>
      <c r="J96" s="60" t="b">
        <v>0</v>
      </c>
      <c r="K96" s="60" t="b">
        <v>0</v>
      </c>
      <c r="L96" s="60" t="b">
        <v>0</v>
      </c>
      <c r="M96" s="60" t="b">
        <v>0</v>
      </c>
      <c r="N96" s="60" t="b">
        <v>0</v>
      </c>
      <c r="O96" s="60" t="b">
        <v>0</v>
      </c>
      <c r="P96" s="60" t="b">
        <v>0</v>
      </c>
      <c r="Q96" s="60" t="b">
        <v>0</v>
      </c>
      <c r="R96" s="60" t="b">
        <v>0</v>
      </c>
      <c r="S96" s="60" t="b">
        <v>0</v>
      </c>
      <c r="T96" s="60" t="b">
        <v>0</v>
      </c>
      <c r="U96" s="60" t="b">
        <v>0</v>
      </c>
      <c r="V96" s="60" t="b">
        <v>0</v>
      </c>
      <c r="W96" s="60" t="b">
        <v>0</v>
      </c>
    </row>
    <row r="97" spans="1:23" ht="112" x14ac:dyDescent="0.15">
      <c r="A97" s="62" t="s">
        <v>358</v>
      </c>
      <c r="B97" s="63" t="s">
        <v>65</v>
      </c>
      <c r="C97" s="64" t="s">
        <v>244</v>
      </c>
      <c r="D97" s="65" t="s">
        <v>315</v>
      </c>
      <c r="E97" s="64" t="s">
        <v>74</v>
      </c>
      <c r="F97" s="59" t="s">
        <v>359</v>
      </c>
      <c r="G97" s="60" t="s">
        <v>113</v>
      </c>
      <c r="H97" s="60" t="b">
        <v>0</v>
      </c>
      <c r="I97" s="60" t="b">
        <v>1</v>
      </c>
      <c r="J97" s="60" t="b">
        <v>0</v>
      </c>
      <c r="K97" s="60" t="b">
        <v>0</v>
      </c>
      <c r="L97" s="60" t="b">
        <v>0</v>
      </c>
      <c r="M97" s="60" t="b">
        <v>0</v>
      </c>
      <c r="N97" s="60" t="b">
        <v>0</v>
      </c>
      <c r="O97" s="60" t="b">
        <v>0</v>
      </c>
      <c r="P97" s="60" t="b">
        <v>0</v>
      </c>
      <c r="Q97" s="60" t="b">
        <v>0</v>
      </c>
      <c r="R97" s="60" t="b">
        <v>0</v>
      </c>
      <c r="S97" s="60" t="b">
        <v>0</v>
      </c>
      <c r="T97" s="60" t="b">
        <v>0</v>
      </c>
      <c r="U97" s="60" t="b">
        <v>0</v>
      </c>
      <c r="V97" s="60" t="b">
        <v>0</v>
      </c>
      <c r="W97" s="60" t="b">
        <v>0</v>
      </c>
    </row>
    <row r="98" spans="1:23" ht="14" x14ac:dyDescent="0.15">
      <c r="A98" s="62" t="s">
        <v>360</v>
      </c>
      <c r="B98" s="63" t="s">
        <v>65</v>
      </c>
      <c r="C98" s="64" t="s">
        <v>244</v>
      </c>
      <c r="D98" s="65" t="s">
        <v>315</v>
      </c>
      <c r="E98" s="64" t="s">
        <v>74</v>
      </c>
      <c r="F98" s="59" t="s">
        <v>361</v>
      </c>
      <c r="G98" s="60" t="s">
        <v>113</v>
      </c>
      <c r="H98" s="60" t="b">
        <v>0</v>
      </c>
      <c r="I98" s="60" t="b">
        <v>1</v>
      </c>
      <c r="J98" s="60" t="b">
        <v>0</v>
      </c>
      <c r="K98" s="60" t="b">
        <v>0</v>
      </c>
      <c r="L98" s="60" t="b">
        <v>0</v>
      </c>
      <c r="M98" s="60" t="b">
        <v>0</v>
      </c>
      <c r="N98" s="60" t="b">
        <v>0</v>
      </c>
      <c r="O98" s="60" t="b">
        <v>0</v>
      </c>
      <c r="P98" s="60" t="b">
        <v>0</v>
      </c>
      <c r="Q98" s="60" t="b">
        <v>0</v>
      </c>
      <c r="R98" s="60" t="b">
        <v>0</v>
      </c>
      <c r="S98" s="60" t="b">
        <v>0</v>
      </c>
      <c r="T98" s="60" t="b">
        <v>0</v>
      </c>
      <c r="U98" s="60" t="b">
        <v>0</v>
      </c>
      <c r="V98" s="60" t="b">
        <v>0</v>
      </c>
      <c r="W98" s="60" t="b">
        <v>0</v>
      </c>
    </row>
    <row r="99" spans="1:23" ht="42" x14ac:dyDescent="0.15">
      <c r="A99" s="62" t="s">
        <v>362</v>
      </c>
      <c r="B99" s="63" t="s">
        <v>65</v>
      </c>
      <c r="C99" s="64" t="s">
        <v>244</v>
      </c>
      <c r="D99" s="65" t="s">
        <v>315</v>
      </c>
      <c r="E99" s="64" t="s">
        <v>74</v>
      </c>
      <c r="F99" s="59" t="s">
        <v>363</v>
      </c>
      <c r="G99" s="60" t="s">
        <v>113</v>
      </c>
      <c r="H99" s="60" t="b">
        <v>0</v>
      </c>
      <c r="I99" s="60" t="b">
        <v>1</v>
      </c>
      <c r="J99" s="60" t="b">
        <v>0</v>
      </c>
      <c r="K99" s="60" t="b">
        <v>0</v>
      </c>
      <c r="L99" s="60" t="b">
        <v>0</v>
      </c>
      <c r="M99" s="60" t="b">
        <v>0</v>
      </c>
      <c r="N99" s="60" t="b">
        <v>0</v>
      </c>
      <c r="O99" s="60" t="b">
        <v>0</v>
      </c>
      <c r="P99" s="60" t="b">
        <v>0</v>
      </c>
      <c r="Q99" s="60" t="b">
        <v>0</v>
      </c>
      <c r="R99" s="60" t="b">
        <v>0</v>
      </c>
      <c r="S99" s="60" t="b">
        <v>0</v>
      </c>
      <c r="T99" s="60" t="b">
        <v>0</v>
      </c>
      <c r="U99" s="60" t="b">
        <v>0</v>
      </c>
      <c r="V99" s="60" t="b">
        <v>0</v>
      </c>
      <c r="W99" s="60" t="b">
        <v>0</v>
      </c>
    </row>
    <row r="100" spans="1:23" ht="42" x14ac:dyDescent="0.15">
      <c r="A100" s="62" t="s">
        <v>364</v>
      </c>
      <c r="B100" s="63" t="s">
        <v>65</v>
      </c>
      <c r="C100" s="64" t="s">
        <v>244</v>
      </c>
      <c r="D100" s="65" t="s">
        <v>315</v>
      </c>
      <c r="E100" s="64" t="s">
        <v>74</v>
      </c>
      <c r="F100" s="59" t="s">
        <v>365</v>
      </c>
      <c r="G100" s="60" t="s">
        <v>127</v>
      </c>
      <c r="H100" s="60" t="b">
        <v>0</v>
      </c>
      <c r="I100" s="60" t="b">
        <v>0</v>
      </c>
      <c r="J100" s="60" t="b">
        <v>0</v>
      </c>
      <c r="K100" s="60" t="b">
        <v>0</v>
      </c>
      <c r="L100" s="60" t="b">
        <v>0</v>
      </c>
      <c r="M100" s="60" t="b">
        <v>0</v>
      </c>
      <c r="N100" s="60" t="b">
        <v>0</v>
      </c>
      <c r="O100" s="60" t="b">
        <v>0</v>
      </c>
      <c r="P100" s="60" t="b">
        <v>0</v>
      </c>
      <c r="Q100" s="60" t="b">
        <v>0</v>
      </c>
      <c r="R100" s="60" t="b">
        <v>0</v>
      </c>
      <c r="S100" s="60" t="b">
        <v>0</v>
      </c>
      <c r="T100" s="60" t="b">
        <v>0</v>
      </c>
      <c r="U100" s="60" t="b">
        <v>0</v>
      </c>
      <c r="V100" s="60" t="b">
        <v>0</v>
      </c>
      <c r="W100" s="60" t="b">
        <v>1</v>
      </c>
    </row>
    <row r="101" spans="1:23" ht="70" x14ac:dyDescent="0.15">
      <c r="A101" s="62" t="s">
        <v>366</v>
      </c>
      <c r="B101" s="63" t="s">
        <v>65</v>
      </c>
      <c r="C101" s="64" t="s">
        <v>244</v>
      </c>
      <c r="D101" s="65" t="s">
        <v>315</v>
      </c>
      <c r="E101" s="64" t="s">
        <v>74</v>
      </c>
      <c r="F101" s="59" t="s">
        <v>367</v>
      </c>
      <c r="G101" s="60" t="s">
        <v>368</v>
      </c>
      <c r="H101" s="60" t="b">
        <v>0</v>
      </c>
      <c r="I101" s="60" t="b">
        <v>1</v>
      </c>
      <c r="J101" s="60" t="b">
        <v>0</v>
      </c>
      <c r="K101" s="60" t="b">
        <v>0</v>
      </c>
      <c r="L101" s="60" t="b">
        <v>0</v>
      </c>
      <c r="M101" s="60" t="b">
        <v>0</v>
      </c>
      <c r="N101" s="60" t="b">
        <v>0</v>
      </c>
      <c r="O101" s="60" t="b">
        <v>0</v>
      </c>
      <c r="P101" s="60" t="b">
        <v>0</v>
      </c>
      <c r="Q101" s="60" t="b">
        <v>0</v>
      </c>
      <c r="R101" s="60" t="b">
        <v>0</v>
      </c>
      <c r="S101" s="60" t="b">
        <v>0</v>
      </c>
      <c r="T101" s="60" t="b">
        <v>0</v>
      </c>
      <c r="U101" s="60" t="b">
        <v>0</v>
      </c>
      <c r="V101" s="60" t="b">
        <v>0</v>
      </c>
      <c r="W101" s="60" t="b">
        <v>0</v>
      </c>
    </row>
    <row r="102" spans="1:23" ht="70" x14ac:dyDescent="0.15">
      <c r="A102" s="62" t="s">
        <v>369</v>
      </c>
      <c r="B102" s="63" t="s">
        <v>65</v>
      </c>
      <c r="C102" s="64" t="s">
        <v>244</v>
      </c>
      <c r="D102" s="65" t="s">
        <v>315</v>
      </c>
      <c r="E102" s="64" t="s">
        <v>74</v>
      </c>
      <c r="F102" s="59" t="s">
        <v>370</v>
      </c>
      <c r="G102" s="60" t="s">
        <v>8</v>
      </c>
      <c r="H102" s="60" t="b">
        <v>0</v>
      </c>
      <c r="I102" s="60" t="b">
        <v>0</v>
      </c>
      <c r="J102" s="60" t="b">
        <v>0</v>
      </c>
      <c r="K102" s="60" t="b">
        <v>0</v>
      </c>
      <c r="L102" s="60" t="b">
        <v>0</v>
      </c>
      <c r="M102" s="60" t="b">
        <v>0</v>
      </c>
      <c r="N102" s="60" t="b">
        <v>0</v>
      </c>
      <c r="O102" s="60" t="b">
        <v>0</v>
      </c>
      <c r="P102" s="60" t="b">
        <v>0</v>
      </c>
      <c r="Q102" s="60" t="b">
        <v>0</v>
      </c>
      <c r="R102" s="60" t="b">
        <v>0</v>
      </c>
      <c r="S102" s="60" t="b">
        <v>0</v>
      </c>
      <c r="T102" s="60" t="b">
        <v>0</v>
      </c>
      <c r="U102" s="60" t="b">
        <v>0</v>
      </c>
      <c r="V102" s="60" t="b">
        <v>0</v>
      </c>
      <c r="W102" s="60" t="b">
        <v>0</v>
      </c>
    </row>
    <row r="103" spans="1:23" ht="84" x14ac:dyDescent="0.15">
      <c r="A103" s="62" t="s">
        <v>371</v>
      </c>
      <c r="B103" s="63" t="s">
        <v>65</v>
      </c>
      <c r="C103" s="64" t="s">
        <v>244</v>
      </c>
      <c r="D103" s="65" t="s">
        <v>315</v>
      </c>
      <c r="E103" s="64" t="s">
        <v>74</v>
      </c>
      <c r="F103" s="59" t="s">
        <v>372</v>
      </c>
      <c r="G103" s="60" t="s">
        <v>8</v>
      </c>
      <c r="H103" s="60" t="b">
        <v>0</v>
      </c>
      <c r="I103" s="60" t="b">
        <v>0</v>
      </c>
      <c r="J103" s="60" t="b">
        <v>0</v>
      </c>
      <c r="K103" s="60" t="b">
        <v>0</v>
      </c>
      <c r="L103" s="60" t="b">
        <v>0</v>
      </c>
      <c r="M103" s="60" t="b">
        <v>0</v>
      </c>
      <c r="N103" s="60" t="b">
        <v>0</v>
      </c>
      <c r="O103" s="60" t="b">
        <v>0</v>
      </c>
      <c r="P103" s="60" t="b">
        <v>0</v>
      </c>
      <c r="Q103" s="60" t="b">
        <v>0</v>
      </c>
      <c r="R103" s="60" t="b">
        <v>0</v>
      </c>
      <c r="S103" s="60" t="b">
        <v>0</v>
      </c>
      <c r="T103" s="60" t="b">
        <v>0</v>
      </c>
      <c r="U103" s="60" t="b">
        <v>0</v>
      </c>
      <c r="V103" s="60" t="b">
        <v>0</v>
      </c>
      <c r="W103" s="60" t="b">
        <v>0</v>
      </c>
    </row>
    <row r="104" spans="1:23" ht="56" x14ac:dyDescent="0.15">
      <c r="A104" s="62" t="s">
        <v>373</v>
      </c>
      <c r="B104" s="63" t="s">
        <v>65</v>
      </c>
      <c r="C104" s="64" t="s">
        <v>244</v>
      </c>
      <c r="D104" s="65" t="s">
        <v>315</v>
      </c>
      <c r="E104" s="64" t="s">
        <v>74</v>
      </c>
      <c r="F104" s="59" t="s">
        <v>374</v>
      </c>
      <c r="G104" s="60" t="s">
        <v>8</v>
      </c>
      <c r="H104" s="60" t="b">
        <v>0</v>
      </c>
      <c r="I104" s="60" t="b">
        <v>0</v>
      </c>
      <c r="J104" s="60" t="b">
        <v>0</v>
      </c>
      <c r="K104" s="60" t="b">
        <v>0</v>
      </c>
      <c r="L104" s="60" t="b">
        <v>0</v>
      </c>
      <c r="M104" s="60" t="b">
        <v>0</v>
      </c>
      <c r="N104" s="60" t="b">
        <v>0</v>
      </c>
      <c r="O104" s="60" t="b">
        <v>0</v>
      </c>
      <c r="P104" s="60" t="b">
        <v>0</v>
      </c>
      <c r="Q104" s="60" t="b">
        <v>0</v>
      </c>
      <c r="R104" s="60" t="b">
        <v>0</v>
      </c>
      <c r="S104" s="60" t="b">
        <v>0</v>
      </c>
      <c r="T104" s="60" t="b">
        <v>0</v>
      </c>
      <c r="U104" s="60" t="b">
        <v>0</v>
      </c>
      <c r="V104" s="60" t="b">
        <v>0</v>
      </c>
      <c r="W104" s="60" t="b">
        <v>0</v>
      </c>
    </row>
    <row r="105" spans="1:23" ht="14" x14ac:dyDescent="0.15">
      <c r="A105" s="62" t="s">
        <v>375</v>
      </c>
      <c r="B105" s="63" t="s">
        <v>65</v>
      </c>
      <c r="C105" s="64" t="s">
        <v>244</v>
      </c>
      <c r="D105" s="65" t="s">
        <v>315</v>
      </c>
      <c r="E105" s="64" t="s">
        <v>74</v>
      </c>
      <c r="F105" s="59" t="s">
        <v>376</v>
      </c>
      <c r="G105" s="60" t="s">
        <v>8</v>
      </c>
      <c r="H105" s="60" t="b">
        <v>0</v>
      </c>
      <c r="I105" s="60" t="b">
        <v>0</v>
      </c>
      <c r="J105" s="60" t="b">
        <v>0</v>
      </c>
      <c r="K105" s="60" t="b">
        <v>0</v>
      </c>
      <c r="L105" s="60" t="b">
        <v>0</v>
      </c>
      <c r="M105" s="60" t="b">
        <v>0</v>
      </c>
      <c r="N105" s="60" t="b">
        <v>0</v>
      </c>
      <c r="O105" s="60" t="b">
        <v>0</v>
      </c>
      <c r="P105" s="60" t="b">
        <v>0</v>
      </c>
      <c r="Q105" s="60" t="b">
        <v>0</v>
      </c>
      <c r="R105" s="60" t="b">
        <v>0</v>
      </c>
      <c r="S105" s="60" t="b">
        <v>0</v>
      </c>
      <c r="T105" s="60" t="b">
        <v>0</v>
      </c>
      <c r="U105" s="60" t="b">
        <v>0</v>
      </c>
      <c r="V105" s="60" t="b">
        <v>0</v>
      </c>
      <c r="W105" s="60" t="b">
        <v>0</v>
      </c>
    </row>
    <row r="106" spans="1:23" ht="182" x14ac:dyDescent="0.15">
      <c r="A106" s="62" t="s">
        <v>377</v>
      </c>
      <c r="B106" s="63" t="s">
        <v>65</v>
      </c>
      <c r="C106" s="64" t="s">
        <v>244</v>
      </c>
      <c r="D106" s="65" t="s">
        <v>315</v>
      </c>
      <c r="E106" s="64" t="s">
        <v>74</v>
      </c>
      <c r="F106" s="59" t="s">
        <v>378</v>
      </c>
      <c r="G106" s="60" t="s">
        <v>8</v>
      </c>
      <c r="H106" s="60" t="b">
        <v>0</v>
      </c>
      <c r="I106" s="60" t="b">
        <v>0</v>
      </c>
      <c r="J106" s="60" t="b">
        <v>0</v>
      </c>
      <c r="K106" s="60" t="b">
        <v>0</v>
      </c>
      <c r="L106" s="60" t="b">
        <v>0</v>
      </c>
      <c r="M106" s="60" t="b">
        <v>0</v>
      </c>
      <c r="N106" s="60" t="b">
        <v>0</v>
      </c>
      <c r="O106" s="60" t="b">
        <v>0</v>
      </c>
      <c r="P106" s="60" t="b">
        <v>0</v>
      </c>
      <c r="Q106" s="60" t="b">
        <v>0</v>
      </c>
      <c r="R106" s="60" t="b">
        <v>0</v>
      </c>
      <c r="S106" s="60" t="b">
        <v>0</v>
      </c>
      <c r="T106" s="60" t="b">
        <v>0</v>
      </c>
      <c r="U106" s="60" t="b">
        <v>0</v>
      </c>
      <c r="V106" s="60" t="b">
        <v>0</v>
      </c>
      <c r="W106" s="60" t="b">
        <v>0</v>
      </c>
    </row>
    <row r="107" spans="1:23" ht="28" x14ac:dyDescent="0.15">
      <c r="A107" s="62" t="s">
        <v>379</v>
      </c>
      <c r="B107" s="63" t="s">
        <v>65</v>
      </c>
      <c r="C107" s="64" t="s">
        <v>244</v>
      </c>
      <c r="D107" s="65" t="s">
        <v>315</v>
      </c>
      <c r="E107" s="64" t="s">
        <v>74</v>
      </c>
      <c r="F107" s="59" t="s">
        <v>380</v>
      </c>
      <c r="G107" s="60" t="s">
        <v>381</v>
      </c>
      <c r="H107" s="60" t="b">
        <v>0</v>
      </c>
      <c r="I107" s="60" t="b">
        <v>0</v>
      </c>
      <c r="J107" s="60" t="b">
        <v>0</v>
      </c>
      <c r="K107" s="60" t="b">
        <v>0</v>
      </c>
      <c r="L107" s="60" t="b">
        <v>0</v>
      </c>
      <c r="M107" s="60" t="b">
        <v>0</v>
      </c>
      <c r="N107" s="60" t="b">
        <v>0</v>
      </c>
      <c r="O107" s="60" t="b">
        <v>0</v>
      </c>
      <c r="P107" s="60" t="b">
        <v>0</v>
      </c>
      <c r="Q107" s="60" t="b">
        <v>0</v>
      </c>
      <c r="R107" s="60" t="b">
        <v>0</v>
      </c>
      <c r="S107" s="60" t="b">
        <v>0</v>
      </c>
      <c r="T107" s="60" t="b">
        <v>0</v>
      </c>
      <c r="U107" s="60" t="b">
        <v>0</v>
      </c>
      <c r="V107" s="60" t="b">
        <v>0</v>
      </c>
      <c r="W107" s="60" t="b">
        <v>0</v>
      </c>
    </row>
    <row r="108" spans="1:23" ht="84" x14ac:dyDescent="0.15">
      <c r="A108" s="62" t="s">
        <v>382</v>
      </c>
      <c r="B108" s="63" t="s">
        <v>65</v>
      </c>
      <c r="C108" s="64" t="s">
        <v>244</v>
      </c>
      <c r="D108" s="65" t="s">
        <v>315</v>
      </c>
      <c r="E108" s="64" t="s">
        <v>74</v>
      </c>
      <c r="F108" s="59" t="s">
        <v>383</v>
      </c>
      <c r="G108" s="60" t="s">
        <v>381</v>
      </c>
      <c r="H108" s="60" t="b">
        <v>0</v>
      </c>
      <c r="I108" s="60" t="b">
        <v>0</v>
      </c>
      <c r="J108" s="60" t="b">
        <v>0</v>
      </c>
      <c r="K108" s="60" t="b">
        <v>0</v>
      </c>
      <c r="L108" s="60" t="b">
        <v>0</v>
      </c>
      <c r="M108" s="60" t="b">
        <v>0</v>
      </c>
      <c r="N108" s="60" t="b">
        <v>0</v>
      </c>
      <c r="O108" s="60" t="b">
        <v>0</v>
      </c>
      <c r="P108" s="60" t="b">
        <v>0</v>
      </c>
      <c r="Q108" s="60" t="b">
        <v>0</v>
      </c>
      <c r="R108" s="60" t="b">
        <v>0</v>
      </c>
      <c r="S108" s="60" t="b">
        <v>0</v>
      </c>
      <c r="T108" s="60" t="b">
        <v>0</v>
      </c>
      <c r="U108" s="60" t="b">
        <v>0</v>
      </c>
      <c r="V108" s="60" t="b">
        <v>0</v>
      </c>
      <c r="W108" s="60" t="b">
        <v>0</v>
      </c>
    </row>
    <row r="109" spans="1:23" ht="210" x14ac:dyDescent="0.15">
      <c r="A109" s="62" t="s">
        <v>384</v>
      </c>
      <c r="B109" s="63" t="s">
        <v>65</v>
      </c>
      <c r="C109" s="64" t="s">
        <v>244</v>
      </c>
      <c r="D109" s="65" t="s">
        <v>315</v>
      </c>
      <c r="E109" s="64" t="s">
        <v>74</v>
      </c>
      <c r="F109" s="59" t="s">
        <v>385</v>
      </c>
      <c r="G109" s="60" t="s">
        <v>8</v>
      </c>
      <c r="H109" s="60" t="b">
        <v>0</v>
      </c>
      <c r="I109" s="60" t="b">
        <v>0</v>
      </c>
      <c r="J109" s="60" t="b">
        <v>0</v>
      </c>
      <c r="K109" s="60" t="b">
        <v>0</v>
      </c>
      <c r="L109" s="60" t="b">
        <v>0</v>
      </c>
      <c r="M109" s="60" t="b">
        <v>0</v>
      </c>
      <c r="N109" s="60" t="b">
        <v>0</v>
      </c>
      <c r="O109" s="60" t="b">
        <v>0</v>
      </c>
      <c r="P109" s="60" t="b">
        <v>0</v>
      </c>
      <c r="Q109" s="60" t="b">
        <v>0</v>
      </c>
      <c r="R109" s="60" t="b">
        <v>0</v>
      </c>
      <c r="S109" s="60" t="b">
        <v>0</v>
      </c>
      <c r="T109" s="60" t="b">
        <v>0</v>
      </c>
      <c r="U109" s="60" t="b">
        <v>0</v>
      </c>
      <c r="V109" s="60" t="b">
        <v>0</v>
      </c>
      <c r="W109" s="60" t="b">
        <v>0</v>
      </c>
    </row>
    <row r="110" spans="1:23" ht="42" x14ac:dyDescent="0.15">
      <c r="A110" s="62" t="s">
        <v>386</v>
      </c>
      <c r="B110" s="63" t="s">
        <v>65</v>
      </c>
      <c r="C110" s="64" t="s">
        <v>244</v>
      </c>
      <c r="D110" s="65" t="s">
        <v>387</v>
      </c>
      <c r="E110" s="64" t="s">
        <v>388</v>
      </c>
      <c r="F110" s="59" t="s">
        <v>389</v>
      </c>
      <c r="G110" s="60" t="s">
        <v>126</v>
      </c>
      <c r="H110" s="60" t="b">
        <v>0</v>
      </c>
      <c r="I110" s="60" t="b">
        <v>0</v>
      </c>
      <c r="J110" s="60" t="b">
        <v>0</v>
      </c>
      <c r="K110" s="60" t="b">
        <v>0</v>
      </c>
      <c r="L110" s="60" t="b">
        <v>0</v>
      </c>
      <c r="M110" s="60" t="b">
        <v>0</v>
      </c>
      <c r="N110" s="60" t="b">
        <v>0</v>
      </c>
      <c r="O110" s="60" t="b">
        <v>0</v>
      </c>
      <c r="P110" s="60" t="b">
        <v>0</v>
      </c>
      <c r="Q110" s="60" t="b">
        <v>0</v>
      </c>
      <c r="R110" s="60" t="b">
        <v>0</v>
      </c>
      <c r="S110" s="60" t="b">
        <v>0</v>
      </c>
      <c r="T110" s="60" t="b">
        <v>0</v>
      </c>
      <c r="U110" s="60" t="b">
        <v>0</v>
      </c>
      <c r="V110" s="60" t="b">
        <v>1</v>
      </c>
      <c r="W110" s="60" t="b">
        <v>0</v>
      </c>
    </row>
    <row r="111" spans="1:23" ht="140" x14ac:dyDescent="0.15">
      <c r="A111" s="62" t="s">
        <v>390</v>
      </c>
      <c r="B111" s="63" t="s">
        <v>65</v>
      </c>
      <c r="C111" s="64" t="s">
        <v>244</v>
      </c>
      <c r="D111" s="65" t="s">
        <v>387</v>
      </c>
      <c r="E111" s="64" t="s">
        <v>391</v>
      </c>
      <c r="F111" s="59" t="s">
        <v>392</v>
      </c>
      <c r="G111" s="60" t="s">
        <v>393</v>
      </c>
      <c r="H111" s="60" t="b">
        <v>0</v>
      </c>
      <c r="I111" s="60" t="b">
        <v>0</v>
      </c>
      <c r="J111" s="60" t="b">
        <v>0</v>
      </c>
      <c r="K111" s="60" t="b">
        <v>0</v>
      </c>
      <c r="L111" s="60" t="b">
        <v>0</v>
      </c>
      <c r="M111" s="60" t="b">
        <v>0</v>
      </c>
      <c r="N111" s="60" t="b">
        <v>0</v>
      </c>
      <c r="O111" s="60" t="b">
        <v>0</v>
      </c>
      <c r="P111" s="60" t="b">
        <v>0</v>
      </c>
      <c r="Q111" s="60" t="b">
        <v>0</v>
      </c>
      <c r="R111" s="60" t="b">
        <v>0</v>
      </c>
      <c r="S111" s="60" t="b">
        <v>0</v>
      </c>
      <c r="T111" s="60" t="b">
        <v>0</v>
      </c>
      <c r="U111" s="60" t="b">
        <v>0</v>
      </c>
      <c r="V111" s="60" t="b">
        <v>0</v>
      </c>
      <c r="W111" s="60" t="b">
        <v>0</v>
      </c>
    </row>
    <row r="112" spans="1:23" ht="126" x14ac:dyDescent="0.15">
      <c r="A112" s="62" t="s">
        <v>394</v>
      </c>
      <c r="B112" s="63" t="s">
        <v>65</v>
      </c>
      <c r="C112" s="64" t="s">
        <v>244</v>
      </c>
      <c r="D112" s="65" t="s">
        <v>387</v>
      </c>
      <c r="E112" s="64" t="s">
        <v>391</v>
      </c>
      <c r="F112" s="59" t="s">
        <v>395</v>
      </c>
      <c r="G112" s="60" t="s">
        <v>393</v>
      </c>
      <c r="H112" s="60" t="b">
        <v>0</v>
      </c>
      <c r="I112" s="60" t="b">
        <v>0</v>
      </c>
      <c r="J112" s="60" t="b">
        <v>0</v>
      </c>
      <c r="K112" s="60" t="b">
        <v>0</v>
      </c>
      <c r="L112" s="60" t="b">
        <v>0</v>
      </c>
      <c r="M112" s="60" t="b">
        <v>0</v>
      </c>
      <c r="N112" s="60" t="b">
        <v>0</v>
      </c>
      <c r="O112" s="60" t="b">
        <v>0</v>
      </c>
      <c r="P112" s="60" t="b">
        <v>0</v>
      </c>
      <c r="Q112" s="60" t="b">
        <v>0</v>
      </c>
      <c r="R112" s="60" t="b">
        <v>0</v>
      </c>
      <c r="S112" s="60" t="b">
        <v>0</v>
      </c>
      <c r="T112" s="60" t="b">
        <v>0</v>
      </c>
      <c r="U112" s="60" t="b">
        <v>0</v>
      </c>
      <c r="V112" s="60" t="b">
        <v>0</v>
      </c>
      <c r="W112" s="60" t="b">
        <v>0</v>
      </c>
    </row>
    <row r="113" spans="1:23" ht="126" x14ac:dyDescent="0.15">
      <c r="A113" s="62" t="s">
        <v>396</v>
      </c>
      <c r="B113" s="63" t="s">
        <v>65</v>
      </c>
      <c r="C113" s="64" t="s">
        <v>244</v>
      </c>
      <c r="D113" s="65" t="s">
        <v>387</v>
      </c>
      <c r="E113" s="64" t="s">
        <v>391</v>
      </c>
      <c r="F113" s="59" t="s">
        <v>397</v>
      </c>
      <c r="G113" s="60" t="s">
        <v>393</v>
      </c>
      <c r="H113" s="60" t="b">
        <v>0</v>
      </c>
      <c r="I113" s="60" t="b">
        <v>0</v>
      </c>
      <c r="J113" s="60" t="b">
        <v>0</v>
      </c>
      <c r="K113" s="60" t="b">
        <v>0</v>
      </c>
      <c r="L113" s="60" t="b">
        <v>0</v>
      </c>
      <c r="M113" s="60" t="b">
        <v>0</v>
      </c>
      <c r="N113" s="60" t="b">
        <v>0</v>
      </c>
      <c r="O113" s="60" t="b">
        <v>0</v>
      </c>
      <c r="P113" s="60" t="b">
        <v>0</v>
      </c>
      <c r="Q113" s="60" t="b">
        <v>0</v>
      </c>
      <c r="R113" s="60" t="b">
        <v>0</v>
      </c>
      <c r="S113" s="60" t="b">
        <v>0</v>
      </c>
      <c r="T113" s="60" t="b">
        <v>0</v>
      </c>
      <c r="U113" s="60" t="b">
        <v>0</v>
      </c>
      <c r="V113" s="60" t="b">
        <v>0</v>
      </c>
      <c r="W113" s="60" t="b">
        <v>0</v>
      </c>
    </row>
    <row r="114" spans="1:23" ht="28" x14ac:dyDescent="0.15">
      <c r="A114" s="62" t="s">
        <v>398</v>
      </c>
      <c r="B114" s="63" t="s">
        <v>65</v>
      </c>
      <c r="C114" s="64" t="s">
        <v>244</v>
      </c>
      <c r="D114" s="65" t="s">
        <v>387</v>
      </c>
      <c r="E114" s="64" t="s">
        <v>391</v>
      </c>
      <c r="F114" s="59" t="s">
        <v>399</v>
      </c>
      <c r="G114" s="60" t="s">
        <v>393</v>
      </c>
      <c r="H114" s="60" t="b">
        <v>0</v>
      </c>
      <c r="I114" s="60" t="b">
        <v>0</v>
      </c>
      <c r="J114" s="60" t="b">
        <v>0</v>
      </c>
      <c r="K114" s="60" t="b">
        <v>0</v>
      </c>
      <c r="L114" s="60" t="b">
        <v>0</v>
      </c>
      <c r="M114" s="60" t="b">
        <v>0</v>
      </c>
      <c r="N114" s="60" t="b">
        <v>0</v>
      </c>
      <c r="O114" s="60" t="b">
        <v>0</v>
      </c>
      <c r="P114" s="60" t="b">
        <v>0</v>
      </c>
      <c r="Q114" s="60" t="b">
        <v>0</v>
      </c>
      <c r="R114" s="60" t="b">
        <v>0</v>
      </c>
      <c r="S114" s="60" t="b">
        <v>0</v>
      </c>
      <c r="T114" s="60" t="b">
        <v>0</v>
      </c>
      <c r="U114" s="60" t="b">
        <v>0</v>
      </c>
      <c r="V114" s="60" t="b">
        <v>0</v>
      </c>
      <c r="W114" s="60" t="b">
        <v>0</v>
      </c>
    </row>
    <row r="115" spans="1:23" ht="126" x14ac:dyDescent="0.15">
      <c r="A115" s="62" t="s">
        <v>400</v>
      </c>
      <c r="B115" s="63" t="s">
        <v>65</v>
      </c>
      <c r="C115" s="64" t="s">
        <v>244</v>
      </c>
      <c r="D115" s="65" t="s">
        <v>387</v>
      </c>
      <c r="E115" s="64" t="s">
        <v>401</v>
      </c>
      <c r="F115" s="59" t="s">
        <v>402</v>
      </c>
      <c r="G115" s="60" t="s">
        <v>393</v>
      </c>
      <c r="H115" s="60" t="b">
        <v>0</v>
      </c>
      <c r="I115" s="60" t="b">
        <v>0</v>
      </c>
      <c r="J115" s="60" t="b">
        <v>0</v>
      </c>
      <c r="K115" s="60" t="b">
        <v>0</v>
      </c>
      <c r="L115" s="60" t="b">
        <v>0</v>
      </c>
      <c r="M115" s="60" t="b">
        <v>0</v>
      </c>
      <c r="N115" s="60" t="b">
        <v>0</v>
      </c>
      <c r="O115" s="60" t="b">
        <v>0</v>
      </c>
      <c r="P115" s="60" t="b">
        <v>0</v>
      </c>
      <c r="Q115" s="60" t="b">
        <v>0</v>
      </c>
      <c r="R115" s="60" t="b">
        <v>0</v>
      </c>
      <c r="S115" s="60" t="b">
        <v>0</v>
      </c>
      <c r="T115" s="60" t="b">
        <v>0</v>
      </c>
      <c r="U115" s="60" t="b">
        <v>0</v>
      </c>
      <c r="V115" s="60" t="b">
        <v>0</v>
      </c>
      <c r="W115" s="60" t="b">
        <v>0</v>
      </c>
    </row>
    <row r="116" spans="1:23" ht="14" x14ac:dyDescent="0.15">
      <c r="A116" s="62" t="s">
        <v>403</v>
      </c>
      <c r="B116" s="63" t="s">
        <v>65</v>
      </c>
      <c r="C116" s="64" t="s">
        <v>244</v>
      </c>
      <c r="D116" s="65" t="s">
        <v>404</v>
      </c>
      <c r="E116" s="64" t="s">
        <v>405</v>
      </c>
      <c r="F116" s="59" t="s">
        <v>406</v>
      </c>
      <c r="G116" s="60" t="s">
        <v>116</v>
      </c>
      <c r="H116" s="60" t="b">
        <v>0</v>
      </c>
      <c r="I116" s="60" t="b">
        <v>0</v>
      </c>
      <c r="J116" s="60" t="b">
        <v>0</v>
      </c>
      <c r="K116" s="60" t="b">
        <v>0</v>
      </c>
      <c r="L116" s="60" t="b">
        <v>1</v>
      </c>
      <c r="M116" s="60" t="b">
        <v>0</v>
      </c>
      <c r="N116" s="60" t="b">
        <v>0</v>
      </c>
      <c r="O116" s="60" t="b">
        <v>0</v>
      </c>
      <c r="P116" s="60" t="b">
        <v>0</v>
      </c>
      <c r="Q116" s="60" t="b">
        <v>0</v>
      </c>
      <c r="R116" s="60" t="b">
        <v>0</v>
      </c>
      <c r="S116" s="60" t="b">
        <v>0</v>
      </c>
      <c r="T116" s="60" t="b">
        <v>0</v>
      </c>
      <c r="U116" s="60" t="b">
        <v>0</v>
      </c>
      <c r="V116" s="60" t="b">
        <v>0</v>
      </c>
      <c r="W116" s="60" t="b">
        <v>0</v>
      </c>
    </row>
    <row r="117" spans="1:23" ht="14" x14ac:dyDescent="0.15">
      <c r="A117" s="62" t="s">
        <v>407</v>
      </c>
      <c r="B117" s="63" t="s">
        <v>65</v>
      </c>
      <c r="C117" s="64" t="s">
        <v>244</v>
      </c>
      <c r="D117" s="65" t="s">
        <v>404</v>
      </c>
      <c r="E117" s="64" t="s">
        <v>405</v>
      </c>
      <c r="F117" s="59" t="s">
        <v>408</v>
      </c>
      <c r="G117" s="60" t="s">
        <v>119</v>
      </c>
      <c r="H117" s="60" t="b">
        <v>0</v>
      </c>
      <c r="I117" s="60" t="b">
        <v>0</v>
      </c>
      <c r="J117" s="60" t="b">
        <v>0</v>
      </c>
      <c r="K117" s="60" t="b">
        <v>0</v>
      </c>
      <c r="L117" s="60" t="b">
        <v>0</v>
      </c>
      <c r="M117" s="60" t="b">
        <v>0</v>
      </c>
      <c r="N117" s="60" t="b">
        <v>0</v>
      </c>
      <c r="O117" s="60" t="b">
        <v>1</v>
      </c>
      <c r="P117" s="60" t="b">
        <v>0</v>
      </c>
      <c r="Q117" s="60" t="b">
        <v>0</v>
      </c>
      <c r="R117" s="60" t="b">
        <v>0</v>
      </c>
      <c r="S117" s="60" t="b">
        <v>0</v>
      </c>
      <c r="T117" s="60" t="b">
        <v>0</v>
      </c>
      <c r="U117" s="60" t="b">
        <v>0</v>
      </c>
      <c r="V117" s="60" t="b">
        <v>0</v>
      </c>
      <c r="W117" s="60" t="b">
        <v>0</v>
      </c>
    </row>
    <row r="118" spans="1:23" ht="126" x14ac:dyDescent="0.15">
      <c r="A118" s="62" t="s">
        <v>409</v>
      </c>
      <c r="B118" s="63" t="s">
        <v>65</v>
      </c>
      <c r="C118" s="64" t="s">
        <v>244</v>
      </c>
      <c r="D118" s="65" t="s">
        <v>404</v>
      </c>
      <c r="E118" s="64" t="s">
        <v>405</v>
      </c>
      <c r="F118" s="59" t="s">
        <v>410</v>
      </c>
      <c r="G118" s="60" t="s">
        <v>119</v>
      </c>
      <c r="H118" s="60" t="b">
        <v>0</v>
      </c>
      <c r="I118" s="60" t="b">
        <v>0</v>
      </c>
      <c r="J118" s="60" t="b">
        <v>0</v>
      </c>
      <c r="K118" s="60" t="b">
        <v>0</v>
      </c>
      <c r="L118" s="60" t="b">
        <v>0</v>
      </c>
      <c r="M118" s="60" t="b">
        <v>0</v>
      </c>
      <c r="N118" s="60" t="b">
        <v>0</v>
      </c>
      <c r="O118" s="60" t="b">
        <v>1</v>
      </c>
      <c r="P118" s="60" t="b">
        <v>0</v>
      </c>
      <c r="Q118" s="60" t="b">
        <v>0</v>
      </c>
      <c r="R118" s="60" t="b">
        <v>0</v>
      </c>
      <c r="S118" s="60" t="b">
        <v>0</v>
      </c>
      <c r="T118" s="60" t="b">
        <v>0</v>
      </c>
      <c r="U118" s="60" t="b">
        <v>0</v>
      </c>
      <c r="V118" s="60" t="b">
        <v>0</v>
      </c>
      <c r="W118" s="60" t="b">
        <v>0</v>
      </c>
    </row>
    <row r="119" spans="1:23" ht="84" x14ac:dyDescent="0.15">
      <c r="A119" s="62" t="s">
        <v>411</v>
      </c>
      <c r="B119" s="63" t="s">
        <v>65</v>
      </c>
      <c r="C119" s="64" t="s">
        <v>244</v>
      </c>
      <c r="D119" s="65" t="s">
        <v>404</v>
      </c>
      <c r="E119" s="64" t="s">
        <v>412</v>
      </c>
      <c r="F119" s="59" t="s">
        <v>413</v>
      </c>
      <c r="G119" s="60" t="s">
        <v>119</v>
      </c>
      <c r="H119" s="60" t="b">
        <v>0</v>
      </c>
      <c r="I119" s="60" t="b">
        <v>0</v>
      </c>
      <c r="J119" s="60" t="b">
        <v>0</v>
      </c>
      <c r="K119" s="60" t="b">
        <v>0</v>
      </c>
      <c r="L119" s="60" t="b">
        <v>0</v>
      </c>
      <c r="M119" s="60" t="b">
        <v>0</v>
      </c>
      <c r="N119" s="60" t="b">
        <v>0</v>
      </c>
      <c r="O119" s="60" t="b">
        <v>1</v>
      </c>
      <c r="P119" s="60" t="b">
        <v>0</v>
      </c>
      <c r="Q119" s="60" t="b">
        <v>0</v>
      </c>
      <c r="R119" s="60" t="b">
        <v>0</v>
      </c>
      <c r="S119" s="60" t="b">
        <v>0</v>
      </c>
      <c r="T119" s="60" t="b">
        <v>0</v>
      </c>
      <c r="U119" s="60" t="b">
        <v>0</v>
      </c>
      <c r="V119" s="60" t="b">
        <v>0</v>
      </c>
      <c r="W119" s="60" t="b">
        <v>0</v>
      </c>
    </row>
    <row r="120" spans="1:23" ht="84" x14ac:dyDescent="0.15">
      <c r="A120" s="62" t="s">
        <v>414</v>
      </c>
      <c r="B120" s="63" t="s">
        <v>65</v>
      </c>
      <c r="C120" s="64" t="s">
        <v>244</v>
      </c>
      <c r="D120" s="65" t="s">
        <v>404</v>
      </c>
      <c r="E120" s="64" t="s">
        <v>412</v>
      </c>
      <c r="F120" s="59" t="s">
        <v>415</v>
      </c>
      <c r="G120" s="60" t="s">
        <v>416</v>
      </c>
      <c r="H120" s="60" t="b">
        <v>0</v>
      </c>
      <c r="I120" s="60" t="b">
        <v>0</v>
      </c>
      <c r="J120" s="60" t="b">
        <v>0</v>
      </c>
      <c r="K120" s="60" t="b">
        <v>0</v>
      </c>
      <c r="L120" s="60" t="b">
        <v>0</v>
      </c>
      <c r="M120" s="60" t="b">
        <v>0</v>
      </c>
      <c r="N120" s="60" t="b">
        <v>0</v>
      </c>
      <c r="O120" s="60" t="b">
        <v>1</v>
      </c>
      <c r="P120" s="60" t="b">
        <v>0</v>
      </c>
      <c r="Q120" s="60" t="b">
        <v>0</v>
      </c>
      <c r="R120" s="60" t="b">
        <v>0</v>
      </c>
      <c r="S120" s="60" t="b">
        <v>1</v>
      </c>
      <c r="T120" s="60" t="b">
        <v>0</v>
      </c>
      <c r="U120" s="60" t="b">
        <v>0</v>
      </c>
      <c r="V120" s="60" t="b">
        <v>0</v>
      </c>
      <c r="W120" s="60" t="b">
        <v>0</v>
      </c>
    </row>
    <row r="121" spans="1:23" ht="126" x14ac:dyDescent="0.15">
      <c r="A121" s="62" t="s">
        <v>417</v>
      </c>
      <c r="B121" s="63" t="s">
        <v>65</v>
      </c>
      <c r="C121" s="64" t="s">
        <v>244</v>
      </c>
      <c r="D121" s="65" t="s">
        <v>404</v>
      </c>
      <c r="E121" s="64" t="s">
        <v>412</v>
      </c>
      <c r="F121" s="59" t="s">
        <v>418</v>
      </c>
      <c r="G121" s="60" t="s">
        <v>416</v>
      </c>
      <c r="H121" s="60" t="b">
        <v>0</v>
      </c>
      <c r="I121" s="60" t="b">
        <v>0</v>
      </c>
      <c r="J121" s="60" t="b">
        <v>0</v>
      </c>
      <c r="K121" s="60" t="b">
        <v>0</v>
      </c>
      <c r="L121" s="60" t="b">
        <v>0</v>
      </c>
      <c r="M121" s="60" t="b">
        <v>0</v>
      </c>
      <c r="N121" s="60" t="b">
        <v>0</v>
      </c>
      <c r="O121" s="60" t="b">
        <v>1</v>
      </c>
      <c r="P121" s="60" t="b">
        <v>0</v>
      </c>
      <c r="Q121" s="60" t="b">
        <v>0</v>
      </c>
      <c r="R121" s="60" t="b">
        <v>0</v>
      </c>
      <c r="S121" s="60" t="b">
        <v>1</v>
      </c>
      <c r="T121" s="60" t="b">
        <v>0</v>
      </c>
      <c r="U121" s="60" t="b">
        <v>0</v>
      </c>
      <c r="V121" s="60" t="b">
        <v>0</v>
      </c>
      <c r="W121" s="60" t="b">
        <v>0</v>
      </c>
    </row>
    <row r="122" spans="1:23" ht="56" x14ac:dyDescent="0.15">
      <c r="A122" s="62" t="s">
        <v>419</v>
      </c>
      <c r="B122" s="63" t="s">
        <v>65</v>
      </c>
      <c r="C122" s="64" t="s">
        <v>244</v>
      </c>
      <c r="D122" s="65" t="s">
        <v>404</v>
      </c>
      <c r="E122" s="64" t="s">
        <v>412</v>
      </c>
      <c r="F122" s="59" t="s">
        <v>420</v>
      </c>
      <c r="G122" s="60" t="s">
        <v>421</v>
      </c>
      <c r="H122" s="60" t="b">
        <v>0</v>
      </c>
      <c r="I122" s="60" t="b">
        <v>0</v>
      </c>
      <c r="J122" s="60" t="b">
        <v>0</v>
      </c>
      <c r="K122" s="60" t="b">
        <v>0</v>
      </c>
      <c r="L122" s="60" t="b">
        <v>1</v>
      </c>
      <c r="M122" s="60" t="b">
        <v>0</v>
      </c>
      <c r="N122" s="60" t="b">
        <v>0</v>
      </c>
      <c r="O122" s="60" t="b">
        <v>0</v>
      </c>
      <c r="P122" s="60" t="b">
        <v>0</v>
      </c>
      <c r="Q122" s="60" t="b">
        <v>0</v>
      </c>
      <c r="R122" s="60" t="b">
        <v>0</v>
      </c>
      <c r="S122" s="60" t="b">
        <v>0</v>
      </c>
      <c r="T122" s="60" t="b">
        <v>0</v>
      </c>
      <c r="U122" s="60" t="b">
        <v>0</v>
      </c>
      <c r="V122" s="60" t="b">
        <v>0</v>
      </c>
      <c r="W122" s="60" t="b">
        <v>0</v>
      </c>
    </row>
    <row r="123" spans="1:23" ht="56" x14ac:dyDescent="0.15">
      <c r="A123" s="62" t="s">
        <v>422</v>
      </c>
      <c r="B123" s="63" t="s">
        <v>67</v>
      </c>
      <c r="C123" s="64" t="s">
        <v>423</v>
      </c>
      <c r="D123" s="65" t="s">
        <v>424</v>
      </c>
      <c r="E123" s="64" t="s">
        <v>425</v>
      </c>
      <c r="F123" s="59" t="s">
        <v>426</v>
      </c>
      <c r="G123" s="60" t="s">
        <v>112</v>
      </c>
      <c r="H123" s="60" t="b">
        <v>1</v>
      </c>
      <c r="I123" s="60" t="b">
        <v>0</v>
      </c>
      <c r="J123" s="60" t="b">
        <v>0</v>
      </c>
      <c r="K123" s="60" t="b">
        <v>0</v>
      </c>
      <c r="L123" s="60" t="b">
        <v>0</v>
      </c>
      <c r="M123" s="60" t="b">
        <v>0</v>
      </c>
      <c r="N123" s="60" t="b">
        <v>0</v>
      </c>
      <c r="O123" s="60" t="b">
        <v>0</v>
      </c>
      <c r="P123" s="60" t="b">
        <v>0</v>
      </c>
      <c r="Q123" s="60" t="b">
        <v>0</v>
      </c>
      <c r="R123" s="60" t="b">
        <v>0</v>
      </c>
      <c r="S123" s="60" t="b">
        <v>0</v>
      </c>
      <c r="T123" s="60" t="b">
        <v>0</v>
      </c>
      <c r="U123" s="60" t="b">
        <v>0</v>
      </c>
      <c r="V123" s="60" t="b">
        <v>0</v>
      </c>
      <c r="W123" s="60" t="b">
        <v>0</v>
      </c>
    </row>
    <row r="124" spans="1:23" ht="14" x14ac:dyDescent="0.15">
      <c r="A124" s="62" t="s">
        <v>427</v>
      </c>
      <c r="B124" s="63" t="s">
        <v>67</v>
      </c>
      <c r="C124" s="64" t="s">
        <v>423</v>
      </c>
      <c r="D124" s="65" t="s">
        <v>424</v>
      </c>
      <c r="E124" s="64" t="s">
        <v>425</v>
      </c>
      <c r="F124" s="59" t="s">
        <v>428</v>
      </c>
      <c r="G124" s="60" t="s">
        <v>123</v>
      </c>
      <c r="H124" s="60" t="b">
        <v>0</v>
      </c>
      <c r="I124" s="60" t="b">
        <v>0</v>
      </c>
      <c r="J124" s="60" t="b">
        <v>0</v>
      </c>
      <c r="K124" s="60" t="b">
        <v>0</v>
      </c>
      <c r="L124" s="60" t="b">
        <v>0</v>
      </c>
      <c r="M124" s="60" t="b">
        <v>0</v>
      </c>
      <c r="N124" s="60" t="b">
        <v>0</v>
      </c>
      <c r="O124" s="60" t="b">
        <v>0</v>
      </c>
      <c r="P124" s="60" t="b">
        <v>0</v>
      </c>
      <c r="Q124" s="60" t="b">
        <v>0</v>
      </c>
      <c r="R124" s="60" t="b">
        <v>0</v>
      </c>
      <c r="S124" s="60" t="b">
        <v>1</v>
      </c>
      <c r="T124" s="60" t="b">
        <v>0</v>
      </c>
      <c r="U124" s="60" t="b">
        <v>0</v>
      </c>
      <c r="V124" s="60" t="b">
        <v>0</v>
      </c>
      <c r="W124" s="60" t="b">
        <v>0</v>
      </c>
    </row>
    <row r="125" spans="1:23" ht="98" x14ac:dyDescent="0.15">
      <c r="A125" s="62" t="s">
        <v>429</v>
      </c>
      <c r="B125" s="63" t="s">
        <v>67</v>
      </c>
      <c r="C125" s="64" t="s">
        <v>423</v>
      </c>
      <c r="D125" s="65" t="s">
        <v>424</v>
      </c>
      <c r="E125" s="64" t="s">
        <v>26</v>
      </c>
      <c r="F125" s="59" t="s">
        <v>430</v>
      </c>
      <c r="G125" s="60" t="s">
        <v>431</v>
      </c>
      <c r="H125" s="60" t="b">
        <v>1</v>
      </c>
      <c r="I125" s="60" t="b">
        <v>0</v>
      </c>
      <c r="J125" s="60" t="b">
        <v>0</v>
      </c>
      <c r="K125" s="60" t="b">
        <v>0</v>
      </c>
      <c r="L125" s="60" t="b">
        <v>0</v>
      </c>
      <c r="M125" s="60" t="b">
        <v>0</v>
      </c>
      <c r="N125" s="60" t="b">
        <v>0</v>
      </c>
      <c r="O125" s="60" t="b">
        <v>0</v>
      </c>
      <c r="P125" s="60" t="b">
        <v>0</v>
      </c>
      <c r="Q125" s="60" t="b">
        <v>0</v>
      </c>
      <c r="R125" s="60" t="b">
        <v>0</v>
      </c>
      <c r="S125" s="60" t="b">
        <v>0</v>
      </c>
      <c r="T125" s="60" t="b">
        <v>0</v>
      </c>
      <c r="U125" s="60" t="b">
        <v>0</v>
      </c>
      <c r="V125" s="60" t="b">
        <v>0</v>
      </c>
      <c r="W125" s="60" t="b">
        <v>0</v>
      </c>
    </row>
    <row r="126" spans="1:23" ht="56" x14ac:dyDescent="0.15">
      <c r="A126" s="62" t="s">
        <v>432</v>
      </c>
      <c r="B126" s="63" t="s">
        <v>67</v>
      </c>
      <c r="C126" s="64" t="s">
        <v>423</v>
      </c>
      <c r="D126" s="65" t="s">
        <v>424</v>
      </c>
      <c r="E126" s="64" t="s">
        <v>26</v>
      </c>
      <c r="F126" s="59" t="s">
        <v>433</v>
      </c>
      <c r="G126" s="60" t="s">
        <v>434</v>
      </c>
      <c r="H126" s="60" t="b">
        <v>0</v>
      </c>
      <c r="I126" s="60" t="b">
        <v>0</v>
      </c>
      <c r="J126" s="60" t="b">
        <v>0</v>
      </c>
      <c r="K126" s="60" t="b">
        <v>0</v>
      </c>
      <c r="L126" s="60" t="b">
        <v>0</v>
      </c>
      <c r="M126" s="60" t="b">
        <v>0</v>
      </c>
      <c r="N126" s="60" t="b">
        <v>0</v>
      </c>
      <c r="O126" s="60" t="b">
        <v>0</v>
      </c>
      <c r="P126" s="60" t="b">
        <v>1</v>
      </c>
      <c r="Q126" s="60" t="b">
        <v>0</v>
      </c>
      <c r="R126" s="60" t="b">
        <v>0</v>
      </c>
      <c r="S126" s="60" t="b">
        <v>1</v>
      </c>
      <c r="T126" s="60" t="b">
        <v>1</v>
      </c>
      <c r="U126" s="60" t="b">
        <v>0</v>
      </c>
      <c r="V126" s="60" t="b">
        <v>0</v>
      </c>
      <c r="W126" s="60" t="b">
        <v>0</v>
      </c>
    </row>
    <row r="127" spans="1:23" ht="112" x14ac:dyDescent="0.15">
      <c r="A127" s="62" t="s">
        <v>435</v>
      </c>
      <c r="B127" s="63" t="s">
        <v>67</v>
      </c>
      <c r="C127" s="64" t="s">
        <v>423</v>
      </c>
      <c r="D127" s="65" t="s">
        <v>424</v>
      </c>
      <c r="E127" s="64" t="s">
        <v>26</v>
      </c>
      <c r="F127" s="59" t="s">
        <v>436</v>
      </c>
      <c r="G127" s="60" t="s">
        <v>121</v>
      </c>
      <c r="H127" s="60" t="b">
        <v>0</v>
      </c>
      <c r="I127" s="60" t="b">
        <v>0</v>
      </c>
      <c r="J127" s="60" t="b">
        <v>0</v>
      </c>
      <c r="K127" s="60" t="b">
        <v>0</v>
      </c>
      <c r="L127" s="60" t="b">
        <v>0</v>
      </c>
      <c r="M127" s="60" t="b">
        <v>0</v>
      </c>
      <c r="N127" s="60" t="b">
        <v>0</v>
      </c>
      <c r="O127" s="60" t="b">
        <v>0</v>
      </c>
      <c r="P127" s="60" t="b">
        <v>0</v>
      </c>
      <c r="Q127" s="60" t="b">
        <v>1</v>
      </c>
      <c r="R127" s="60" t="b">
        <v>0</v>
      </c>
      <c r="S127" s="60" t="b">
        <v>0</v>
      </c>
      <c r="T127" s="60" t="b">
        <v>0</v>
      </c>
      <c r="U127" s="60" t="b">
        <v>0</v>
      </c>
      <c r="V127" s="60" t="b">
        <v>0</v>
      </c>
      <c r="W127" s="60" t="b">
        <v>0</v>
      </c>
    </row>
    <row r="128" spans="1:23" ht="56" x14ac:dyDescent="0.15">
      <c r="A128" s="62" t="s">
        <v>437</v>
      </c>
      <c r="B128" s="63" t="s">
        <v>67</v>
      </c>
      <c r="C128" s="64" t="s">
        <v>423</v>
      </c>
      <c r="D128" s="65" t="s">
        <v>424</v>
      </c>
      <c r="E128" s="64" t="s">
        <v>26</v>
      </c>
      <c r="F128" s="59" t="s">
        <v>438</v>
      </c>
      <c r="G128" s="60" t="s">
        <v>439</v>
      </c>
      <c r="H128" s="60" t="b">
        <v>1</v>
      </c>
      <c r="I128" s="60" t="b">
        <v>0</v>
      </c>
      <c r="J128" s="60" t="b">
        <v>0</v>
      </c>
      <c r="K128" s="60" t="b">
        <v>0</v>
      </c>
      <c r="L128" s="60" t="b">
        <v>0</v>
      </c>
      <c r="M128" s="60" t="b">
        <v>0</v>
      </c>
      <c r="N128" s="60" t="b">
        <v>0</v>
      </c>
      <c r="O128" s="60" t="b">
        <v>0</v>
      </c>
      <c r="P128" s="60" t="b">
        <v>0</v>
      </c>
      <c r="Q128" s="60" t="b">
        <v>0</v>
      </c>
      <c r="R128" s="60" t="b">
        <v>1</v>
      </c>
      <c r="S128" s="60" t="b">
        <v>0</v>
      </c>
      <c r="T128" s="60" t="b">
        <v>0</v>
      </c>
      <c r="U128" s="60" t="b">
        <v>0</v>
      </c>
      <c r="V128" s="60" t="b">
        <v>0</v>
      </c>
      <c r="W128" s="60" t="b">
        <v>0</v>
      </c>
    </row>
    <row r="129" spans="1:23" ht="42" x14ac:dyDescent="0.15">
      <c r="A129" s="62" t="s">
        <v>440</v>
      </c>
      <c r="B129" s="63" t="s">
        <v>67</v>
      </c>
      <c r="C129" s="64" t="s">
        <v>423</v>
      </c>
      <c r="D129" s="65" t="s">
        <v>424</v>
      </c>
      <c r="E129" s="64" t="s">
        <v>26</v>
      </c>
      <c r="F129" s="59" t="s">
        <v>441</v>
      </c>
      <c r="G129" s="60" t="s">
        <v>120</v>
      </c>
      <c r="H129" s="60" t="b">
        <v>0</v>
      </c>
      <c r="I129" s="60" t="b">
        <v>0</v>
      </c>
      <c r="J129" s="60" t="b">
        <v>0</v>
      </c>
      <c r="K129" s="60" t="b">
        <v>0</v>
      </c>
      <c r="L129" s="60" t="b">
        <v>0</v>
      </c>
      <c r="M129" s="60" t="b">
        <v>0</v>
      </c>
      <c r="N129" s="60" t="b">
        <v>0</v>
      </c>
      <c r="O129" s="60" t="b">
        <v>0</v>
      </c>
      <c r="P129" s="60" t="b">
        <v>1</v>
      </c>
      <c r="Q129" s="60" t="b">
        <v>0</v>
      </c>
      <c r="R129" s="60" t="b">
        <v>0</v>
      </c>
      <c r="S129" s="60" t="b">
        <v>0</v>
      </c>
      <c r="T129" s="60" t="b">
        <v>0</v>
      </c>
      <c r="U129" s="60" t="b">
        <v>0</v>
      </c>
      <c r="V129" s="60" t="b">
        <v>0</v>
      </c>
      <c r="W129" s="60" t="b">
        <v>0</v>
      </c>
    </row>
    <row r="130" spans="1:23" ht="42" x14ac:dyDescent="0.15">
      <c r="A130" s="62" t="s">
        <v>442</v>
      </c>
      <c r="B130" s="63" t="s">
        <v>67</v>
      </c>
      <c r="C130" s="64" t="s">
        <v>423</v>
      </c>
      <c r="D130" s="65" t="s">
        <v>424</v>
      </c>
      <c r="E130" s="64" t="s">
        <v>26</v>
      </c>
      <c r="F130" s="59" t="s">
        <v>443</v>
      </c>
      <c r="G130" s="60" t="s">
        <v>115</v>
      </c>
      <c r="H130" s="60" t="b">
        <v>0</v>
      </c>
      <c r="I130" s="60" t="b">
        <v>0</v>
      </c>
      <c r="J130" s="60" t="b">
        <v>0</v>
      </c>
      <c r="K130" s="60" t="b">
        <v>1</v>
      </c>
      <c r="L130" s="60" t="b">
        <v>0</v>
      </c>
      <c r="M130" s="60" t="b">
        <v>0</v>
      </c>
      <c r="N130" s="60" t="b">
        <v>0</v>
      </c>
      <c r="O130" s="60" t="b">
        <v>0</v>
      </c>
      <c r="P130" s="60" t="b">
        <v>0</v>
      </c>
      <c r="Q130" s="60" t="b">
        <v>0</v>
      </c>
      <c r="R130" s="60" t="b">
        <v>0</v>
      </c>
      <c r="S130" s="60" t="b">
        <v>0</v>
      </c>
      <c r="T130" s="60" t="b">
        <v>0</v>
      </c>
      <c r="U130" s="60" t="b">
        <v>0</v>
      </c>
      <c r="V130" s="60" t="b">
        <v>0</v>
      </c>
      <c r="W130" s="60" t="b">
        <v>0</v>
      </c>
    </row>
    <row r="131" spans="1:23" ht="56" x14ac:dyDescent="0.15">
      <c r="A131" s="62" t="s">
        <v>444</v>
      </c>
      <c r="B131" s="63" t="s">
        <v>67</v>
      </c>
      <c r="C131" s="64" t="s">
        <v>423</v>
      </c>
      <c r="D131" s="65" t="s">
        <v>424</v>
      </c>
      <c r="E131" s="64" t="s">
        <v>26</v>
      </c>
      <c r="F131" s="59" t="s">
        <v>445</v>
      </c>
      <c r="G131" s="60" t="s">
        <v>115</v>
      </c>
      <c r="H131" s="60" t="b">
        <v>0</v>
      </c>
      <c r="I131" s="60" t="b">
        <v>0</v>
      </c>
      <c r="J131" s="60" t="b">
        <v>0</v>
      </c>
      <c r="K131" s="60" t="b">
        <v>1</v>
      </c>
      <c r="L131" s="60" t="b">
        <v>0</v>
      </c>
      <c r="M131" s="60" t="b">
        <v>0</v>
      </c>
      <c r="N131" s="60" t="b">
        <v>0</v>
      </c>
      <c r="O131" s="60" t="b">
        <v>0</v>
      </c>
      <c r="P131" s="60" t="b">
        <v>0</v>
      </c>
      <c r="Q131" s="60" t="b">
        <v>0</v>
      </c>
      <c r="R131" s="60" t="b">
        <v>0</v>
      </c>
      <c r="S131" s="60" t="b">
        <v>0</v>
      </c>
      <c r="T131" s="60" t="b">
        <v>0</v>
      </c>
      <c r="U131" s="60" t="b">
        <v>0</v>
      </c>
      <c r="V131" s="60" t="b">
        <v>0</v>
      </c>
      <c r="W131" s="60" t="b">
        <v>0</v>
      </c>
    </row>
    <row r="132" spans="1:23" ht="42" x14ac:dyDescent="0.15">
      <c r="A132" s="62" t="s">
        <v>446</v>
      </c>
      <c r="B132" s="63" t="s">
        <v>67</v>
      </c>
      <c r="C132" s="64" t="s">
        <v>423</v>
      </c>
      <c r="D132" s="65" t="s">
        <v>424</v>
      </c>
      <c r="E132" s="64" t="s">
        <v>447</v>
      </c>
      <c r="F132" s="59" t="s">
        <v>448</v>
      </c>
      <c r="G132" s="60" t="s">
        <v>320</v>
      </c>
      <c r="H132" s="60" t="b">
        <v>0</v>
      </c>
      <c r="I132" s="60" t="b">
        <v>1</v>
      </c>
      <c r="J132" s="60" t="b">
        <v>0</v>
      </c>
      <c r="K132" s="60" t="b">
        <v>0</v>
      </c>
      <c r="L132" s="60" t="b">
        <v>0</v>
      </c>
      <c r="M132" s="60" t="b">
        <v>0</v>
      </c>
      <c r="N132" s="60" t="b">
        <v>0</v>
      </c>
      <c r="O132" s="60" t="b">
        <v>0</v>
      </c>
      <c r="P132" s="60" t="b">
        <v>0</v>
      </c>
      <c r="Q132" s="60" t="b">
        <v>0</v>
      </c>
      <c r="R132" s="60" t="b">
        <v>0</v>
      </c>
      <c r="S132" s="60" t="b">
        <v>1</v>
      </c>
      <c r="T132" s="60" t="b">
        <v>0</v>
      </c>
      <c r="U132" s="60" t="b">
        <v>0</v>
      </c>
      <c r="V132" s="60" t="b">
        <v>0</v>
      </c>
      <c r="W132" s="60" t="b">
        <v>0</v>
      </c>
    </row>
    <row r="133" spans="1:23" ht="84" x14ac:dyDescent="0.15">
      <c r="A133" s="62" t="s">
        <v>449</v>
      </c>
      <c r="B133" s="63" t="s">
        <v>67</v>
      </c>
      <c r="C133" s="64" t="s">
        <v>423</v>
      </c>
      <c r="D133" s="65" t="s">
        <v>450</v>
      </c>
      <c r="E133" s="64" t="s">
        <v>451</v>
      </c>
      <c r="F133" s="59" t="s">
        <v>452</v>
      </c>
      <c r="G133" s="60" t="s">
        <v>114</v>
      </c>
      <c r="H133" s="60" t="b">
        <v>0</v>
      </c>
      <c r="I133" s="60" t="b">
        <v>0</v>
      </c>
      <c r="J133" s="60" t="b">
        <v>1</v>
      </c>
      <c r="K133" s="60" t="b">
        <v>0</v>
      </c>
      <c r="L133" s="60" t="b">
        <v>0</v>
      </c>
      <c r="M133" s="60" t="b">
        <v>0</v>
      </c>
      <c r="N133" s="60" t="b">
        <v>0</v>
      </c>
      <c r="O133" s="60" t="b">
        <v>0</v>
      </c>
      <c r="P133" s="60" t="b">
        <v>0</v>
      </c>
      <c r="Q133" s="60" t="b">
        <v>0</v>
      </c>
      <c r="R133" s="60" t="b">
        <v>0</v>
      </c>
      <c r="S133" s="60" t="b">
        <v>0</v>
      </c>
      <c r="T133" s="60" t="b">
        <v>0</v>
      </c>
      <c r="U133" s="60" t="b">
        <v>0</v>
      </c>
      <c r="V133" s="60" t="b">
        <v>0</v>
      </c>
      <c r="W133" s="60" t="b">
        <v>0</v>
      </c>
    </row>
    <row r="134" spans="1:23" ht="42" x14ac:dyDescent="0.15">
      <c r="A134" s="62" t="s">
        <v>453</v>
      </c>
      <c r="B134" s="63" t="s">
        <v>67</v>
      </c>
      <c r="C134" s="64" t="s">
        <v>423</v>
      </c>
      <c r="D134" s="65" t="s">
        <v>450</v>
      </c>
      <c r="E134" s="64" t="s">
        <v>451</v>
      </c>
      <c r="F134" s="59" t="s">
        <v>454</v>
      </c>
      <c r="G134" s="60"/>
      <c r="H134" s="60" t="b">
        <v>0</v>
      </c>
      <c r="I134" s="60" t="b">
        <v>0</v>
      </c>
      <c r="J134" s="60" t="b">
        <v>0</v>
      </c>
      <c r="K134" s="60" t="b">
        <v>0</v>
      </c>
      <c r="L134" s="60" t="b">
        <v>0</v>
      </c>
      <c r="M134" s="60" t="b">
        <v>0</v>
      </c>
      <c r="N134" s="60" t="b">
        <v>0</v>
      </c>
      <c r="O134" s="60" t="b">
        <v>0</v>
      </c>
      <c r="P134" s="60" t="b">
        <v>0</v>
      </c>
      <c r="Q134" s="60" t="b">
        <v>0</v>
      </c>
      <c r="R134" s="60" t="b">
        <v>0</v>
      </c>
      <c r="S134" s="60" t="b">
        <v>0</v>
      </c>
      <c r="T134" s="60" t="b">
        <v>0</v>
      </c>
      <c r="U134" s="60" t="b">
        <v>0</v>
      </c>
      <c r="V134" s="60" t="b">
        <v>0</v>
      </c>
      <c r="W134" s="60" t="b">
        <v>0</v>
      </c>
    </row>
    <row r="135" spans="1:23" ht="28" x14ac:dyDescent="0.15">
      <c r="A135" s="62" t="s">
        <v>455</v>
      </c>
      <c r="B135" s="63" t="s">
        <v>67</v>
      </c>
      <c r="C135" s="64" t="s">
        <v>423</v>
      </c>
      <c r="D135" s="65" t="s">
        <v>450</v>
      </c>
      <c r="E135" s="64" t="s">
        <v>451</v>
      </c>
      <c r="F135" s="59" t="s">
        <v>456</v>
      </c>
      <c r="G135" s="60" t="s">
        <v>114</v>
      </c>
      <c r="H135" s="60" t="b">
        <v>0</v>
      </c>
      <c r="I135" s="60" t="b">
        <v>0</v>
      </c>
      <c r="J135" s="60" t="b">
        <v>1</v>
      </c>
      <c r="K135" s="60" t="b">
        <v>0</v>
      </c>
      <c r="L135" s="60" t="b">
        <v>0</v>
      </c>
      <c r="M135" s="60" t="b">
        <v>0</v>
      </c>
      <c r="N135" s="60" t="b">
        <v>0</v>
      </c>
      <c r="O135" s="60" t="b">
        <v>0</v>
      </c>
      <c r="P135" s="60" t="b">
        <v>0</v>
      </c>
      <c r="Q135" s="60" t="b">
        <v>0</v>
      </c>
      <c r="R135" s="60" t="b">
        <v>0</v>
      </c>
      <c r="S135" s="60" t="b">
        <v>0</v>
      </c>
      <c r="T135" s="60" t="b">
        <v>0</v>
      </c>
      <c r="U135" s="60" t="b">
        <v>0</v>
      </c>
      <c r="V135" s="60" t="b">
        <v>0</v>
      </c>
      <c r="W135" s="60" t="b">
        <v>0</v>
      </c>
    </row>
    <row r="136" spans="1:23" ht="42" x14ac:dyDescent="0.15">
      <c r="A136" s="62" t="s">
        <v>457</v>
      </c>
      <c r="B136" s="63" t="s">
        <v>67</v>
      </c>
      <c r="C136" s="64" t="s">
        <v>423</v>
      </c>
      <c r="D136" s="65" t="s">
        <v>450</v>
      </c>
      <c r="E136" s="64" t="s">
        <v>451</v>
      </c>
      <c r="F136" s="59" t="s">
        <v>458</v>
      </c>
      <c r="G136" s="60" t="s">
        <v>114</v>
      </c>
      <c r="H136" s="60" t="b">
        <v>0</v>
      </c>
      <c r="I136" s="60" t="b">
        <v>0</v>
      </c>
      <c r="J136" s="60" t="b">
        <v>1</v>
      </c>
      <c r="K136" s="60" t="b">
        <v>0</v>
      </c>
      <c r="L136" s="60" t="b">
        <v>0</v>
      </c>
      <c r="M136" s="60" t="b">
        <v>0</v>
      </c>
      <c r="N136" s="60" t="b">
        <v>0</v>
      </c>
      <c r="O136" s="60" t="b">
        <v>0</v>
      </c>
      <c r="P136" s="60" t="b">
        <v>0</v>
      </c>
      <c r="Q136" s="60" t="b">
        <v>0</v>
      </c>
      <c r="R136" s="60" t="b">
        <v>0</v>
      </c>
      <c r="S136" s="60" t="b">
        <v>0</v>
      </c>
      <c r="T136" s="60" t="b">
        <v>0</v>
      </c>
      <c r="U136" s="60" t="b">
        <v>0</v>
      </c>
      <c r="V136" s="60" t="b">
        <v>0</v>
      </c>
      <c r="W136" s="60" t="b">
        <v>0</v>
      </c>
    </row>
    <row r="137" spans="1:23" ht="42" x14ac:dyDescent="0.15">
      <c r="A137" s="62" t="s">
        <v>459</v>
      </c>
      <c r="B137" s="63" t="s">
        <v>67</v>
      </c>
      <c r="C137" s="64" t="s">
        <v>423</v>
      </c>
      <c r="D137" s="65" t="s">
        <v>450</v>
      </c>
      <c r="E137" s="64" t="s">
        <v>451</v>
      </c>
      <c r="F137" s="59" t="s">
        <v>460</v>
      </c>
      <c r="G137" s="60" t="s">
        <v>114</v>
      </c>
      <c r="H137" s="60" t="b">
        <v>0</v>
      </c>
      <c r="I137" s="60" t="b">
        <v>0</v>
      </c>
      <c r="J137" s="60" t="b">
        <v>1</v>
      </c>
      <c r="K137" s="60" t="b">
        <v>0</v>
      </c>
      <c r="L137" s="60" t="b">
        <v>0</v>
      </c>
      <c r="M137" s="60" t="b">
        <v>0</v>
      </c>
      <c r="N137" s="60" t="b">
        <v>0</v>
      </c>
      <c r="O137" s="60" t="b">
        <v>0</v>
      </c>
      <c r="P137" s="60" t="b">
        <v>0</v>
      </c>
      <c r="Q137" s="60" t="b">
        <v>0</v>
      </c>
      <c r="R137" s="60" t="b">
        <v>0</v>
      </c>
      <c r="S137" s="60" t="b">
        <v>0</v>
      </c>
      <c r="T137" s="60" t="b">
        <v>0</v>
      </c>
      <c r="U137" s="60" t="b">
        <v>0</v>
      </c>
      <c r="V137" s="60" t="b">
        <v>0</v>
      </c>
      <c r="W137" s="60" t="b">
        <v>0</v>
      </c>
    </row>
    <row r="138" spans="1:23" ht="42" x14ac:dyDescent="0.15">
      <c r="A138" s="62" t="s">
        <v>461</v>
      </c>
      <c r="B138" s="63" t="s">
        <v>67</v>
      </c>
      <c r="C138" s="64" t="s">
        <v>423</v>
      </c>
      <c r="D138" s="65" t="s">
        <v>450</v>
      </c>
      <c r="E138" s="64" t="s">
        <v>451</v>
      </c>
      <c r="F138" s="59" t="s">
        <v>462</v>
      </c>
      <c r="G138" s="60" t="s">
        <v>114</v>
      </c>
      <c r="H138" s="60" t="b">
        <v>0</v>
      </c>
      <c r="I138" s="60" t="b">
        <v>0</v>
      </c>
      <c r="J138" s="60" t="b">
        <v>1</v>
      </c>
      <c r="K138" s="60" t="b">
        <v>0</v>
      </c>
      <c r="L138" s="60" t="b">
        <v>0</v>
      </c>
      <c r="M138" s="60" t="b">
        <v>0</v>
      </c>
      <c r="N138" s="60" t="b">
        <v>0</v>
      </c>
      <c r="O138" s="60" t="b">
        <v>0</v>
      </c>
      <c r="P138" s="60" t="b">
        <v>0</v>
      </c>
      <c r="Q138" s="60" t="b">
        <v>0</v>
      </c>
      <c r="R138" s="60" t="b">
        <v>0</v>
      </c>
      <c r="S138" s="60" t="b">
        <v>0</v>
      </c>
      <c r="T138" s="60" t="b">
        <v>0</v>
      </c>
      <c r="U138" s="60" t="b">
        <v>0</v>
      </c>
      <c r="V138" s="60" t="b">
        <v>0</v>
      </c>
      <c r="W138" s="60" t="b">
        <v>0</v>
      </c>
    </row>
    <row r="139" spans="1:23" ht="28" x14ac:dyDescent="0.15">
      <c r="A139" s="62" t="s">
        <v>463</v>
      </c>
      <c r="B139" s="63" t="s">
        <v>67</v>
      </c>
      <c r="C139" s="64" t="s">
        <v>423</v>
      </c>
      <c r="D139" s="65" t="s">
        <v>450</v>
      </c>
      <c r="E139" s="64" t="s">
        <v>464</v>
      </c>
      <c r="F139" s="59" t="s">
        <v>465</v>
      </c>
      <c r="G139" s="60" t="s">
        <v>114</v>
      </c>
      <c r="H139" s="60" t="b">
        <v>0</v>
      </c>
      <c r="I139" s="60" t="b">
        <v>0</v>
      </c>
      <c r="J139" s="60" t="b">
        <v>1</v>
      </c>
      <c r="K139" s="60" t="b">
        <v>0</v>
      </c>
      <c r="L139" s="60" t="b">
        <v>0</v>
      </c>
      <c r="M139" s="60" t="b">
        <v>0</v>
      </c>
      <c r="N139" s="60" t="b">
        <v>0</v>
      </c>
      <c r="O139" s="60" t="b">
        <v>0</v>
      </c>
      <c r="P139" s="60" t="b">
        <v>0</v>
      </c>
      <c r="Q139" s="60" t="b">
        <v>0</v>
      </c>
      <c r="R139" s="60" t="b">
        <v>0</v>
      </c>
      <c r="S139" s="60" t="b">
        <v>0</v>
      </c>
      <c r="T139" s="60" t="b">
        <v>0</v>
      </c>
      <c r="U139" s="60" t="b">
        <v>0</v>
      </c>
      <c r="V139" s="60" t="b">
        <v>0</v>
      </c>
      <c r="W139" s="60" t="b">
        <v>0</v>
      </c>
    </row>
    <row r="140" spans="1:23" ht="42" x14ac:dyDescent="0.15">
      <c r="A140" s="62" t="s">
        <v>466</v>
      </c>
      <c r="B140" s="63" t="s">
        <v>67</v>
      </c>
      <c r="C140" s="64" t="s">
        <v>423</v>
      </c>
      <c r="D140" s="65" t="s">
        <v>450</v>
      </c>
      <c r="E140" s="64" t="s">
        <v>464</v>
      </c>
      <c r="F140" s="59" t="s">
        <v>467</v>
      </c>
      <c r="G140" s="60" t="s">
        <v>114</v>
      </c>
      <c r="H140" s="60" t="b">
        <v>0</v>
      </c>
      <c r="I140" s="60" t="b">
        <v>0</v>
      </c>
      <c r="J140" s="60" t="b">
        <v>1</v>
      </c>
      <c r="K140" s="60" t="b">
        <v>0</v>
      </c>
      <c r="L140" s="60" t="b">
        <v>0</v>
      </c>
      <c r="M140" s="60" t="b">
        <v>0</v>
      </c>
      <c r="N140" s="60" t="b">
        <v>0</v>
      </c>
      <c r="O140" s="60" t="b">
        <v>0</v>
      </c>
      <c r="P140" s="60" t="b">
        <v>0</v>
      </c>
      <c r="Q140" s="60" t="b">
        <v>0</v>
      </c>
      <c r="R140" s="60" t="b">
        <v>0</v>
      </c>
      <c r="S140" s="60" t="b">
        <v>0</v>
      </c>
      <c r="T140" s="60" t="b">
        <v>0</v>
      </c>
      <c r="U140" s="60" t="b">
        <v>0</v>
      </c>
      <c r="V140" s="60" t="b">
        <v>0</v>
      </c>
      <c r="W140" s="60" t="b">
        <v>0</v>
      </c>
    </row>
    <row r="141" spans="1:23" ht="42" x14ac:dyDescent="0.15">
      <c r="A141" s="62" t="s">
        <v>468</v>
      </c>
      <c r="B141" s="63" t="s">
        <v>67</v>
      </c>
      <c r="C141" s="64" t="s">
        <v>423</v>
      </c>
      <c r="D141" s="65" t="s">
        <v>450</v>
      </c>
      <c r="E141" s="64" t="s">
        <v>464</v>
      </c>
      <c r="F141" s="59" t="s">
        <v>469</v>
      </c>
      <c r="G141" s="60" t="s">
        <v>114</v>
      </c>
      <c r="H141" s="60" t="b">
        <v>0</v>
      </c>
      <c r="I141" s="60" t="b">
        <v>0</v>
      </c>
      <c r="J141" s="60" t="b">
        <v>1</v>
      </c>
      <c r="K141" s="60" t="b">
        <v>0</v>
      </c>
      <c r="L141" s="60" t="b">
        <v>0</v>
      </c>
      <c r="M141" s="60" t="b">
        <v>0</v>
      </c>
      <c r="N141" s="60" t="b">
        <v>0</v>
      </c>
      <c r="O141" s="60" t="b">
        <v>0</v>
      </c>
      <c r="P141" s="60" t="b">
        <v>0</v>
      </c>
      <c r="Q141" s="60" t="b">
        <v>0</v>
      </c>
      <c r="R141" s="60" t="b">
        <v>0</v>
      </c>
      <c r="S141" s="60" t="b">
        <v>0</v>
      </c>
      <c r="T141" s="60" t="b">
        <v>0</v>
      </c>
      <c r="U141" s="60" t="b">
        <v>0</v>
      </c>
      <c r="V141" s="60" t="b">
        <v>0</v>
      </c>
      <c r="W141" s="60" t="b">
        <v>0</v>
      </c>
    </row>
    <row r="142" spans="1:23" ht="42" x14ac:dyDescent="0.15">
      <c r="A142" s="62" t="s">
        <v>470</v>
      </c>
      <c r="B142" s="63" t="s">
        <v>67</v>
      </c>
      <c r="C142" s="64" t="s">
        <v>423</v>
      </c>
      <c r="D142" s="65" t="s">
        <v>450</v>
      </c>
      <c r="E142" s="64" t="s">
        <v>464</v>
      </c>
      <c r="F142" s="59" t="s">
        <v>471</v>
      </c>
      <c r="G142" s="60" t="s">
        <v>114</v>
      </c>
      <c r="H142" s="60" t="b">
        <v>0</v>
      </c>
      <c r="I142" s="60" t="b">
        <v>0</v>
      </c>
      <c r="J142" s="60" t="b">
        <v>1</v>
      </c>
      <c r="K142" s="60" t="b">
        <v>0</v>
      </c>
      <c r="L142" s="60" t="b">
        <v>0</v>
      </c>
      <c r="M142" s="60" t="b">
        <v>0</v>
      </c>
      <c r="N142" s="60" t="b">
        <v>0</v>
      </c>
      <c r="O142" s="60" t="b">
        <v>0</v>
      </c>
      <c r="P142" s="60" t="b">
        <v>0</v>
      </c>
      <c r="Q142" s="60" t="b">
        <v>0</v>
      </c>
      <c r="R142" s="60" t="b">
        <v>0</v>
      </c>
      <c r="S142" s="60" t="b">
        <v>0</v>
      </c>
      <c r="T142" s="60" t="b">
        <v>0</v>
      </c>
      <c r="U142" s="60" t="b">
        <v>0</v>
      </c>
      <c r="V142" s="60" t="b">
        <v>0</v>
      </c>
      <c r="W142" s="60" t="b">
        <v>0</v>
      </c>
    </row>
    <row r="143" spans="1:23" ht="70" x14ac:dyDescent="0.15">
      <c r="A143" s="62" t="s">
        <v>472</v>
      </c>
      <c r="B143" s="63" t="s">
        <v>67</v>
      </c>
      <c r="C143" s="64" t="s">
        <v>423</v>
      </c>
      <c r="D143" s="65" t="s">
        <v>450</v>
      </c>
      <c r="E143" s="64" t="s">
        <v>473</v>
      </c>
      <c r="F143" s="59" t="s">
        <v>474</v>
      </c>
      <c r="G143" s="60" t="s">
        <v>114</v>
      </c>
      <c r="H143" s="60" t="b">
        <v>0</v>
      </c>
      <c r="I143" s="60" t="b">
        <v>0</v>
      </c>
      <c r="J143" s="60" t="b">
        <v>1</v>
      </c>
      <c r="K143" s="60" t="b">
        <v>0</v>
      </c>
      <c r="L143" s="60" t="b">
        <v>0</v>
      </c>
      <c r="M143" s="60" t="b">
        <v>0</v>
      </c>
      <c r="N143" s="60" t="b">
        <v>0</v>
      </c>
      <c r="O143" s="60" t="b">
        <v>0</v>
      </c>
      <c r="P143" s="60" t="b">
        <v>0</v>
      </c>
      <c r="Q143" s="60" t="b">
        <v>0</v>
      </c>
      <c r="R143" s="60" t="b">
        <v>0</v>
      </c>
      <c r="S143" s="60" t="b">
        <v>0</v>
      </c>
      <c r="T143" s="60" t="b">
        <v>0</v>
      </c>
      <c r="U143" s="60" t="b">
        <v>0</v>
      </c>
      <c r="V143" s="60" t="b">
        <v>0</v>
      </c>
      <c r="W143" s="60" t="b">
        <v>0</v>
      </c>
    </row>
    <row r="144" spans="1:23" ht="42" x14ac:dyDescent="0.15">
      <c r="A144" s="62" t="s">
        <v>475</v>
      </c>
      <c r="B144" s="63" t="s">
        <v>67</v>
      </c>
      <c r="C144" s="64" t="s">
        <v>423</v>
      </c>
      <c r="D144" s="65" t="s">
        <v>450</v>
      </c>
      <c r="E144" s="64" t="s">
        <v>473</v>
      </c>
      <c r="F144" s="59" t="s">
        <v>476</v>
      </c>
      <c r="G144" s="60"/>
      <c r="H144" s="60" t="b">
        <v>0</v>
      </c>
      <c r="I144" s="60" t="b">
        <v>0</v>
      </c>
      <c r="J144" s="60" t="b">
        <v>0</v>
      </c>
      <c r="K144" s="60" t="b">
        <v>0</v>
      </c>
      <c r="L144" s="60" t="b">
        <v>0</v>
      </c>
      <c r="M144" s="60" t="b">
        <v>0</v>
      </c>
      <c r="N144" s="60" t="b">
        <v>0</v>
      </c>
      <c r="O144" s="60" t="b">
        <v>0</v>
      </c>
      <c r="P144" s="60" t="b">
        <v>0</v>
      </c>
      <c r="Q144" s="60" t="b">
        <v>0</v>
      </c>
      <c r="R144" s="60" t="b">
        <v>0</v>
      </c>
      <c r="S144" s="60" t="b">
        <v>0</v>
      </c>
      <c r="T144" s="60" t="b">
        <v>0</v>
      </c>
      <c r="U144" s="60" t="b">
        <v>0</v>
      </c>
      <c r="V144" s="60" t="b">
        <v>0</v>
      </c>
      <c r="W144" s="60" t="b">
        <v>0</v>
      </c>
    </row>
    <row r="145" spans="1:23" ht="70" x14ac:dyDescent="0.15">
      <c r="A145" s="62" t="s">
        <v>477</v>
      </c>
      <c r="B145" s="63" t="s">
        <v>67</v>
      </c>
      <c r="C145" s="64" t="s">
        <v>423</v>
      </c>
      <c r="D145" s="65" t="s">
        <v>478</v>
      </c>
      <c r="E145" s="64" t="s">
        <v>76</v>
      </c>
      <c r="F145" s="59" t="s">
        <v>479</v>
      </c>
      <c r="G145" s="60" t="s">
        <v>113</v>
      </c>
      <c r="H145" s="60" t="b">
        <v>0</v>
      </c>
      <c r="I145" s="60" t="b">
        <v>1</v>
      </c>
      <c r="J145" s="60" t="b">
        <v>0</v>
      </c>
      <c r="K145" s="60" t="b">
        <v>0</v>
      </c>
      <c r="L145" s="60" t="b">
        <v>0</v>
      </c>
      <c r="M145" s="60" t="b">
        <v>0</v>
      </c>
      <c r="N145" s="60" t="b">
        <v>0</v>
      </c>
      <c r="O145" s="60" t="b">
        <v>0</v>
      </c>
      <c r="P145" s="60" t="b">
        <v>0</v>
      </c>
      <c r="Q145" s="60" t="b">
        <v>0</v>
      </c>
      <c r="R145" s="60" t="b">
        <v>0</v>
      </c>
      <c r="S145" s="60" t="b">
        <v>0</v>
      </c>
      <c r="T145" s="60" t="b">
        <v>0</v>
      </c>
      <c r="U145" s="60" t="b">
        <v>0</v>
      </c>
      <c r="V145" s="60" t="b">
        <v>0</v>
      </c>
      <c r="W145" s="60" t="b">
        <v>0</v>
      </c>
    </row>
    <row r="146" spans="1:23" ht="42" x14ac:dyDescent="0.15">
      <c r="A146" s="62" t="s">
        <v>480</v>
      </c>
      <c r="B146" s="63" t="s">
        <v>67</v>
      </c>
      <c r="C146" s="64" t="s">
        <v>423</v>
      </c>
      <c r="D146" s="65" t="s">
        <v>478</v>
      </c>
      <c r="E146" s="64" t="s">
        <v>76</v>
      </c>
      <c r="F146" s="59" t="s">
        <v>481</v>
      </c>
      <c r="G146" s="60" t="s">
        <v>113</v>
      </c>
      <c r="H146" s="60" t="b">
        <v>0</v>
      </c>
      <c r="I146" s="60" t="b">
        <v>1</v>
      </c>
      <c r="J146" s="60" t="b">
        <v>0</v>
      </c>
      <c r="K146" s="60" t="b">
        <v>0</v>
      </c>
      <c r="L146" s="60" t="b">
        <v>0</v>
      </c>
      <c r="M146" s="60" t="b">
        <v>0</v>
      </c>
      <c r="N146" s="60" t="b">
        <v>0</v>
      </c>
      <c r="O146" s="60" t="b">
        <v>0</v>
      </c>
      <c r="P146" s="60" t="b">
        <v>0</v>
      </c>
      <c r="Q146" s="60" t="b">
        <v>0</v>
      </c>
      <c r="R146" s="60" t="b">
        <v>0</v>
      </c>
      <c r="S146" s="60" t="b">
        <v>0</v>
      </c>
      <c r="T146" s="60" t="b">
        <v>0</v>
      </c>
      <c r="U146" s="60" t="b">
        <v>0</v>
      </c>
      <c r="V146" s="60" t="b">
        <v>0</v>
      </c>
      <c r="W146" s="60" t="b">
        <v>0</v>
      </c>
    </row>
    <row r="147" spans="1:23" ht="42" x14ac:dyDescent="0.15">
      <c r="A147" s="62" t="s">
        <v>482</v>
      </c>
      <c r="B147" s="63" t="s">
        <v>67</v>
      </c>
      <c r="C147" s="64" t="s">
        <v>423</v>
      </c>
      <c r="D147" s="65" t="s">
        <v>478</v>
      </c>
      <c r="E147" s="64" t="s">
        <v>76</v>
      </c>
      <c r="F147" s="59" t="s">
        <v>483</v>
      </c>
      <c r="G147" s="60" t="s">
        <v>332</v>
      </c>
      <c r="H147" s="60" t="b">
        <v>0</v>
      </c>
      <c r="I147" s="60" t="b">
        <v>0</v>
      </c>
      <c r="J147" s="60" t="b">
        <v>0</v>
      </c>
      <c r="K147" s="60" t="b">
        <v>0</v>
      </c>
      <c r="L147" s="60" t="b">
        <v>0</v>
      </c>
      <c r="M147" s="60" t="b">
        <v>0</v>
      </c>
      <c r="N147" s="60" t="b">
        <v>0</v>
      </c>
      <c r="O147" s="60" t="b">
        <v>0</v>
      </c>
      <c r="P147" s="60" t="b">
        <v>0</v>
      </c>
      <c r="Q147" s="60" t="b">
        <v>0</v>
      </c>
      <c r="R147" s="60" t="b">
        <v>0</v>
      </c>
      <c r="S147" s="60" t="b">
        <v>0</v>
      </c>
      <c r="T147" s="60" t="b">
        <v>0</v>
      </c>
      <c r="U147" s="60" t="b">
        <v>0</v>
      </c>
      <c r="V147" s="60" t="b">
        <v>0</v>
      </c>
      <c r="W147" s="60" t="b">
        <v>0</v>
      </c>
    </row>
    <row r="148" spans="1:23" ht="56" x14ac:dyDescent="0.15">
      <c r="A148" s="62" t="s">
        <v>484</v>
      </c>
      <c r="B148" s="63" t="s">
        <v>67</v>
      </c>
      <c r="C148" s="64" t="s">
        <v>423</v>
      </c>
      <c r="D148" s="65" t="s">
        <v>478</v>
      </c>
      <c r="E148" s="64" t="s">
        <v>485</v>
      </c>
      <c r="F148" s="59" t="s">
        <v>486</v>
      </c>
      <c r="G148" s="60" t="s">
        <v>113</v>
      </c>
      <c r="H148" s="60" t="b">
        <v>0</v>
      </c>
      <c r="I148" s="60" t="b">
        <v>1</v>
      </c>
      <c r="J148" s="60" t="b">
        <v>0</v>
      </c>
      <c r="K148" s="60" t="b">
        <v>0</v>
      </c>
      <c r="L148" s="60" t="b">
        <v>0</v>
      </c>
      <c r="M148" s="60" t="b">
        <v>0</v>
      </c>
      <c r="N148" s="60" t="b">
        <v>0</v>
      </c>
      <c r="O148" s="60" t="b">
        <v>0</v>
      </c>
      <c r="P148" s="60" t="b">
        <v>0</v>
      </c>
      <c r="Q148" s="60" t="b">
        <v>0</v>
      </c>
      <c r="R148" s="60" t="b">
        <v>0</v>
      </c>
      <c r="S148" s="60" t="b">
        <v>0</v>
      </c>
      <c r="T148" s="60" t="b">
        <v>0</v>
      </c>
      <c r="U148" s="60" t="b">
        <v>0</v>
      </c>
      <c r="V148" s="60" t="b">
        <v>0</v>
      </c>
      <c r="W148" s="60" t="b">
        <v>0</v>
      </c>
    </row>
    <row r="149" spans="1:23" ht="56" x14ac:dyDescent="0.15">
      <c r="A149" s="62" t="s">
        <v>487</v>
      </c>
      <c r="B149" s="63" t="s">
        <v>67</v>
      </c>
      <c r="C149" s="64" t="s">
        <v>423</v>
      </c>
      <c r="D149" s="65" t="s">
        <v>478</v>
      </c>
      <c r="E149" s="64" t="s">
        <v>485</v>
      </c>
      <c r="F149" s="59" t="s">
        <v>488</v>
      </c>
      <c r="G149" s="60" t="s">
        <v>113</v>
      </c>
      <c r="H149" s="60" t="b">
        <v>0</v>
      </c>
      <c r="I149" s="60" t="b">
        <v>1</v>
      </c>
      <c r="J149" s="60" t="b">
        <v>0</v>
      </c>
      <c r="K149" s="60" t="b">
        <v>0</v>
      </c>
      <c r="L149" s="60" t="b">
        <v>0</v>
      </c>
      <c r="M149" s="60" t="b">
        <v>0</v>
      </c>
      <c r="N149" s="60" t="b">
        <v>0</v>
      </c>
      <c r="O149" s="60" t="b">
        <v>0</v>
      </c>
      <c r="P149" s="60" t="b">
        <v>0</v>
      </c>
      <c r="Q149" s="60" t="b">
        <v>0</v>
      </c>
      <c r="R149" s="60" t="b">
        <v>0</v>
      </c>
      <c r="S149" s="60" t="b">
        <v>0</v>
      </c>
      <c r="T149" s="60" t="b">
        <v>0</v>
      </c>
      <c r="U149" s="60" t="b">
        <v>0</v>
      </c>
      <c r="V149" s="60" t="b">
        <v>0</v>
      </c>
      <c r="W149" s="60" t="b">
        <v>0</v>
      </c>
    </row>
    <row r="150" spans="1:23" ht="42" x14ac:dyDescent="0.15">
      <c r="A150" s="62" t="s">
        <v>489</v>
      </c>
      <c r="B150" s="63" t="s">
        <v>67</v>
      </c>
      <c r="C150" s="64" t="s">
        <v>423</v>
      </c>
      <c r="D150" s="65" t="s">
        <v>478</v>
      </c>
      <c r="E150" s="64" t="s">
        <v>485</v>
      </c>
      <c r="F150" s="59" t="s">
        <v>490</v>
      </c>
      <c r="G150" s="60" t="s">
        <v>201</v>
      </c>
      <c r="H150" s="60" t="b">
        <v>0</v>
      </c>
      <c r="I150" s="60" t="b">
        <v>0</v>
      </c>
      <c r="J150" s="60" t="b">
        <v>0</v>
      </c>
      <c r="K150" s="60" t="b">
        <v>0</v>
      </c>
      <c r="L150" s="60" t="b">
        <v>0</v>
      </c>
      <c r="M150" s="60" t="b">
        <v>0</v>
      </c>
      <c r="N150" s="60" t="b">
        <v>0</v>
      </c>
      <c r="O150" s="60" t="b">
        <v>0</v>
      </c>
      <c r="P150" s="60" t="b">
        <v>0</v>
      </c>
      <c r="Q150" s="60" t="b">
        <v>0</v>
      </c>
      <c r="R150" s="60" t="b">
        <v>0</v>
      </c>
      <c r="S150" s="60" t="b">
        <v>0</v>
      </c>
      <c r="T150" s="60" t="b">
        <v>0</v>
      </c>
      <c r="U150" s="60" t="b">
        <v>0</v>
      </c>
      <c r="V150" s="60" t="b">
        <v>0</v>
      </c>
      <c r="W150" s="60" t="b">
        <v>0</v>
      </c>
    </row>
    <row r="151" spans="1:23" ht="42" x14ac:dyDescent="0.15">
      <c r="A151" s="62" t="s">
        <v>491</v>
      </c>
      <c r="B151" s="63" t="s">
        <v>67</v>
      </c>
      <c r="C151" s="64" t="s">
        <v>423</v>
      </c>
      <c r="D151" s="65" t="s">
        <v>478</v>
      </c>
      <c r="E151" s="64" t="s">
        <v>492</v>
      </c>
      <c r="F151" s="59" t="s">
        <v>493</v>
      </c>
      <c r="G151" s="60" t="s">
        <v>120</v>
      </c>
      <c r="H151" s="60" t="b">
        <v>0</v>
      </c>
      <c r="I151" s="60" t="b">
        <v>0</v>
      </c>
      <c r="J151" s="60" t="b">
        <v>0</v>
      </c>
      <c r="K151" s="60" t="b">
        <v>0</v>
      </c>
      <c r="L151" s="60" t="b">
        <v>0</v>
      </c>
      <c r="M151" s="60" t="b">
        <v>0</v>
      </c>
      <c r="N151" s="60" t="b">
        <v>0</v>
      </c>
      <c r="O151" s="60" t="b">
        <v>0</v>
      </c>
      <c r="P151" s="60" t="b">
        <v>1</v>
      </c>
      <c r="Q151" s="60" t="b">
        <v>0</v>
      </c>
      <c r="R151" s="60" t="b">
        <v>0</v>
      </c>
      <c r="S151" s="60" t="b">
        <v>0</v>
      </c>
      <c r="T151" s="60" t="b">
        <v>0</v>
      </c>
      <c r="U151" s="60" t="b">
        <v>0</v>
      </c>
      <c r="V151" s="60" t="b">
        <v>0</v>
      </c>
      <c r="W151" s="60" t="b">
        <v>0</v>
      </c>
    </row>
    <row r="152" spans="1:23" ht="42" x14ac:dyDescent="0.15">
      <c r="A152" s="62" t="s">
        <v>494</v>
      </c>
      <c r="B152" s="63" t="s">
        <v>67</v>
      </c>
      <c r="C152" s="64" t="s">
        <v>423</v>
      </c>
      <c r="D152" s="65" t="s">
        <v>478</v>
      </c>
      <c r="E152" s="64" t="s">
        <v>492</v>
      </c>
      <c r="F152" s="59" t="s">
        <v>495</v>
      </c>
      <c r="G152" s="60" t="s">
        <v>496</v>
      </c>
      <c r="H152" s="60" t="b">
        <v>0</v>
      </c>
      <c r="I152" s="60" t="b">
        <v>0</v>
      </c>
      <c r="J152" s="60" t="b">
        <v>0</v>
      </c>
      <c r="K152" s="60" t="b">
        <v>0</v>
      </c>
      <c r="L152" s="60" t="b">
        <v>0</v>
      </c>
      <c r="M152" s="60" t="b">
        <v>0</v>
      </c>
      <c r="N152" s="60" t="b">
        <v>0</v>
      </c>
      <c r="O152" s="60" t="b">
        <v>0</v>
      </c>
      <c r="P152" s="60" t="b">
        <v>1</v>
      </c>
      <c r="Q152" s="60" t="b">
        <v>0</v>
      </c>
      <c r="R152" s="60" t="b">
        <v>0</v>
      </c>
      <c r="S152" s="60" t="b">
        <v>0</v>
      </c>
      <c r="T152" s="60" t="b">
        <v>0</v>
      </c>
      <c r="U152" s="60" t="b">
        <v>0</v>
      </c>
      <c r="V152" s="60" t="b">
        <v>0</v>
      </c>
      <c r="W152" s="60" t="b">
        <v>0</v>
      </c>
    </row>
    <row r="153" spans="1:23" ht="28" x14ac:dyDescent="0.15">
      <c r="A153" s="62" t="s">
        <v>497</v>
      </c>
      <c r="B153" s="63" t="s">
        <v>67</v>
      </c>
      <c r="C153" s="64" t="s">
        <v>423</v>
      </c>
      <c r="D153" s="65" t="s">
        <v>498</v>
      </c>
      <c r="E153" s="64" t="s">
        <v>8</v>
      </c>
      <c r="F153" s="59" t="s">
        <v>499</v>
      </c>
      <c r="G153" s="60" t="s">
        <v>8</v>
      </c>
      <c r="H153" s="60" t="b">
        <v>0</v>
      </c>
      <c r="I153" s="60" t="b">
        <v>0</v>
      </c>
      <c r="J153" s="60" t="b">
        <v>0</v>
      </c>
      <c r="K153" s="60" t="b">
        <v>0</v>
      </c>
      <c r="L153" s="60" t="b">
        <v>0</v>
      </c>
      <c r="M153" s="60" t="b">
        <v>0</v>
      </c>
      <c r="N153" s="60" t="b">
        <v>0</v>
      </c>
      <c r="O153" s="60" t="b">
        <v>0</v>
      </c>
      <c r="P153" s="60" t="b">
        <v>0</v>
      </c>
      <c r="Q153" s="60" t="b">
        <v>0</v>
      </c>
      <c r="R153" s="60" t="b">
        <v>0</v>
      </c>
      <c r="S153" s="60" t="b">
        <v>0</v>
      </c>
      <c r="T153" s="60" t="b">
        <v>0</v>
      </c>
      <c r="U153" s="60" t="b">
        <v>0</v>
      </c>
      <c r="V153" s="60" t="b">
        <v>0</v>
      </c>
      <c r="W153" s="60" t="b">
        <v>0</v>
      </c>
    </row>
    <row r="154" spans="1:23" ht="28" x14ac:dyDescent="0.15">
      <c r="A154" s="62" t="s">
        <v>500</v>
      </c>
      <c r="B154" s="63" t="s">
        <v>67</v>
      </c>
      <c r="C154" s="64" t="s">
        <v>423</v>
      </c>
      <c r="D154" s="65" t="s">
        <v>498</v>
      </c>
      <c r="E154" s="64" t="s">
        <v>8</v>
      </c>
      <c r="F154" s="59" t="s">
        <v>501</v>
      </c>
      <c r="G154" s="60" t="s">
        <v>8</v>
      </c>
      <c r="H154" s="60" t="b">
        <v>0</v>
      </c>
      <c r="I154" s="60" t="b">
        <v>0</v>
      </c>
      <c r="J154" s="60" t="b">
        <v>0</v>
      </c>
      <c r="K154" s="60" t="b">
        <v>0</v>
      </c>
      <c r="L154" s="60" t="b">
        <v>0</v>
      </c>
      <c r="M154" s="60" t="b">
        <v>0</v>
      </c>
      <c r="N154" s="60" t="b">
        <v>0</v>
      </c>
      <c r="O154" s="60" t="b">
        <v>0</v>
      </c>
      <c r="P154" s="60" t="b">
        <v>0</v>
      </c>
      <c r="Q154" s="60" t="b">
        <v>0</v>
      </c>
      <c r="R154" s="60" t="b">
        <v>0</v>
      </c>
      <c r="S154" s="60" t="b">
        <v>0</v>
      </c>
      <c r="T154" s="60" t="b">
        <v>0</v>
      </c>
      <c r="U154" s="60" t="b">
        <v>0</v>
      </c>
      <c r="V154" s="60" t="b">
        <v>0</v>
      </c>
      <c r="W154" s="60" t="b">
        <v>0</v>
      </c>
    </row>
    <row r="155" spans="1:23" ht="28" x14ac:dyDescent="0.15">
      <c r="A155" s="62" t="s">
        <v>502</v>
      </c>
      <c r="B155" s="63" t="s">
        <v>67</v>
      </c>
      <c r="C155" s="64" t="s">
        <v>423</v>
      </c>
      <c r="D155" s="65" t="s">
        <v>498</v>
      </c>
      <c r="E155" s="64" t="s">
        <v>8</v>
      </c>
      <c r="F155" s="59" t="s">
        <v>503</v>
      </c>
      <c r="G155" s="60" t="s">
        <v>8</v>
      </c>
      <c r="H155" s="60" t="b">
        <v>0</v>
      </c>
      <c r="I155" s="60" t="b">
        <v>0</v>
      </c>
      <c r="J155" s="60" t="b">
        <v>0</v>
      </c>
      <c r="K155" s="60" t="b">
        <v>0</v>
      </c>
      <c r="L155" s="60" t="b">
        <v>0</v>
      </c>
      <c r="M155" s="60" t="b">
        <v>0</v>
      </c>
      <c r="N155" s="60" t="b">
        <v>0</v>
      </c>
      <c r="O155" s="60" t="b">
        <v>0</v>
      </c>
      <c r="P155" s="60" t="b">
        <v>0</v>
      </c>
      <c r="Q155" s="60" t="b">
        <v>0</v>
      </c>
      <c r="R155" s="60" t="b">
        <v>0</v>
      </c>
      <c r="S155" s="60" t="b">
        <v>0</v>
      </c>
      <c r="T155" s="60" t="b">
        <v>0</v>
      </c>
      <c r="U155" s="60" t="b">
        <v>0</v>
      </c>
      <c r="V155" s="60" t="b">
        <v>0</v>
      </c>
      <c r="W155" s="60" t="b">
        <v>0</v>
      </c>
    </row>
    <row r="156" spans="1:23" ht="56" x14ac:dyDescent="0.15">
      <c r="A156" s="62" t="s">
        <v>504</v>
      </c>
      <c r="B156" s="63" t="s">
        <v>67</v>
      </c>
      <c r="C156" s="64" t="s">
        <v>423</v>
      </c>
      <c r="D156" s="65" t="s">
        <v>498</v>
      </c>
      <c r="E156" s="64" t="s">
        <v>8</v>
      </c>
      <c r="F156" s="59" t="s">
        <v>505</v>
      </c>
      <c r="G156" s="60" t="s">
        <v>8</v>
      </c>
      <c r="H156" s="60" t="b">
        <v>0</v>
      </c>
      <c r="I156" s="60" t="b">
        <v>0</v>
      </c>
      <c r="J156" s="60" t="b">
        <v>0</v>
      </c>
      <c r="K156" s="60" t="b">
        <v>0</v>
      </c>
      <c r="L156" s="60" t="b">
        <v>0</v>
      </c>
      <c r="M156" s="60" t="b">
        <v>0</v>
      </c>
      <c r="N156" s="60" t="b">
        <v>0</v>
      </c>
      <c r="O156" s="60" t="b">
        <v>0</v>
      </c>
      <c r="P156" s="60" t="b">
        <v>0</v>
      </c>
      <c r="Q156" s="60" t="b">
        <v>0</v>
      </c>
      <c r="R156" s="60" t="b">
        <v>0</v>
      </c>
      <c r="S156" s="60" t="b">
        <v>0</v>
      </c>
      <c r="T156" s="60" t="b">
        <v>0</v>
      </c>
      <c r="U156" s="60" t="b">
        <v>0</v>
      </c>
      <c r="V156" s="60" t="b">
        <v>0</v>
      </c>
      <c r="W156" s="60" t="b">
        <v>0</v>
      </c>
    </row>
    <row r="157" spans="1:23" ht="56" x14ac:dyDescent="0.15">
      <c r="A157" s="62" t="s">
        <v>506</v>
      </c>
      <c r="B157" s="63" t="s">
        <v>67</v>
      </c>
      <c r="C157" s="64" t="s">
        <v>423</v>
      </c>
      <c r="D157" s="65" t="s">
        <v>498</v>
      </c>
      <c r="E157" s="64" t="s">
        <v>8</v>
      </c>
      <c r="F157" s="59" t="s">
        <v>507</v>
      </c>
      <c r="G157" s="60"/>
      <c r="H157" s="60" t="b">
        <v>0</v>
      </c>
      <c r="I157" s="60" t="b">
        <v>0</v>
      </c>
      <c r="J157" s="60" t="b">
        <v>0</v>
      </c>
      <c r="K157" s="60" t="b">
        <v>0</v>
      </c>
      <c r="L157" s="60" t="b">
        <v>0</v>
      </c>
      <c r="M157" s="60" t="b">
        <v>0</v>
      </c>
      <c r="N157" s="60" t="b">
        <v>0</v>
      </c>
      <c r="O157" s="60" t="b">
        <v>0</v>
      </c>
      <c r="P157" s="60" t="b">
        <v>0</v>
      </c>
      <c r="Q157" s="60" t="b">
        <v>0</v>
      </c>
      <c r="R157" s="60" t="b">
        <v>0</v>
      </c>
      <c r="S157" s="60" t="b">
        <v>0</v>
      </c>
      <c r="T157" s="60" t="b">
        <v>0</v>
      </c>
      <c r="U157" s="60" t="b">
        <v>0</v>
      </c>
      <c r="V157" s="60" t="b">
        <v>0</v>
      </c>
      <c r="W157" s="60" t="b">
        <v>0</v>
      </c>
    </row>
    <row r="158" spans="1:23" ht="56" x14ac:dyDescent="0.15">
      <c r="A158" s="62" t="s">
        <v>508</v>
      </c>
      <c r="B158" s="63" t="s">
        <v>67</v>
      </c>
      <c r="C158" s="64" t="s">
        <v>423</v>
      </c>
      <c r="D158" s="65" t="s">
        <v>498</v>
      </c>
      <c r="E158" s="64" t="s">
        <v>8</v>
      </c>
      <c r="F158" s="59" t="s">
        <v>509</v>
      </c>
      <c r="G158" s="60" t="s">
        <v>8</v>
      </c>
      <c r="H158" s="60" t="b">
        <v>0</v>
      </c>
      <c r="I158" s="60" t="b">
        <v>0</v>
      </c>
      <c r="J158" s="60" t="b">
        <v>0</v>
      </c>
      <c r="K158" s="60" t="b">
        <v>0</v>
      </c>
      <c r="L158" s="60" t="b">
        <v>0</v>
      </c>
      <c r="M158" s="60" t="b">
        <v>0</v>
      </c>
      <c r="N158" s="60" t="b">
        <v>0</v>
      </c>
      <c r="O158" s="60" t="b">
        <v>0</v>
      </c>
      <c r="P158" s="60" t="b">
        <v>0</v>
      </c>
      <c r="Q158" s="60" t="b">
        <v>0</v>
      </c>
      <c r="R158" s="60" t="b">
        <v>0</v>
      </c>
      <c r="S158" s="60" t="b">
        <v>0</v>
      </c>
      <c r="T158" s="60" t="b">
        <v>0</v>
      </c>
      <c r="U158" s="60" t="b">
        <v>0</v>
      </c>
      <c r="V158" s="60" t="b">
        <v>0</v>
      </c>
      <c r="W158" s="60" t="b">
        <v>0</v>
      </c>
    </row>
    <row r="159" spans="1:23" ht="42" x14ac:dyDescent="0.15">
      <c r="A159" s="62" t="s">
        <v>510</v>
      </c>
      <c r="B159" s="63" t="s">
        <v>67</v>
      </c>
      <c r="C159" s="64" t="s">
        <v>423</v>
      </c>
      <c r="D159" s="65" t="s">
        <v>498</v>
      </c>
      <c r="E159" s="64" t="s">
        <v>8</v>
      </c>
      <c r="F159" s="59" t="s">
        <v>511</v>
      </c>
      <c r="G159" s="60" t="s">
        <v>8</v>
      </c>
      <c r="H159" s="60" t="b">
        <v>0</v>
      </c>
      <c r="I159" s="60" t="b">
        <v>0</v>
      </c>
      <c r="J159" s="60" t="b">
        <v>0</v>
      </c>
      <c r="K159" s="60" t="b">
        <v>0</v>
      </c>
      <c r="L159" s="60" t="b">
        <v>0</v>
      </c>
      <c r="M159" s="60" t="b">
        <v>0</v>
      </c>
      <c r="N159" s="60" t="b">
        <v>0</v>
      </c>
      <c r="O159" s="60" t="b">
        <v>0</v>
      </c>
      <c r="P159" s="60" t="b">
        <v>0</v>
      </c>
      <c r="Q159" s="60" t="b">
        <v>0</v>
      </c>
      <c r="R159" s="60" t="b">
        <v>0</v>
      </c>
      <c r="S159" s="60" t="b">
        <v>0</v>
      </c>
      <c r="T159" s="60" t="b">
        <v>0</v>
      </c>
      <c r="U159" s="60" t="b">
        <v>0</v>
      </c>
      <c r="V159" s="60" t="b">
        <v>0</v>
      </c>
      <c r="W159" s="60" t="b">
        <v>0</v>
      </c>
    </row>
    <row r="160" spans="1:23" ht="28" x14ac:dyDescent="0.15">
      <c r="A160" s="62" t="s">
        <v>512</v>
      </c>
      <c r="B160" s="63" t="s">
        <v>67</v>
      </c>
      <c r="C160" s="64" t="s">
        <v>423</v>
      </c>
      <c r="D160" s="65" t="s">
        <v>498</v>
      </c>
      <c r="E160" s="64" t="s">
        <v>8</v>
      </c>
      <c r="F160" s="59" t="s">
        <v>513</v>
      </c>
      <c r="G160" s="60" t="s">
        <v>8</v>
      </c>
      <c r="H160" s="60" t="b">
        <v>0</v>
      </c>
      <c r="I160" s="60" t="b">
        <v>0</v>
      </c>
      <c r="J160" s="60" t="b">
        <v>0</v>
      </c>
      <c r="K160" s="60" t="b">
        <v>0</v>
      </c>
      <c r="L160" s="60" t="b">
        <v>0</v>
      </c>
      <c r="M160" s="60" t="b">
        <v>0</v>
      </c>
      <c r="N160" s="60" t="b">
        <v>0</v>
      </c>
      <c r="O160" s="60" t="b">
        <v>0</v>
      </c>
      <c r="P160" s="60" t="b">
        <v>0</v>
      </c>
      <c r="Q160" s="60" t="b">
        <v>0</v>
      </c>
      <c r="R160" s="60" t="b">
        <v>0</v>
      </c>
      <c r="S160" s="60" t="b">
        <v>0</v>
      </c>
      <c r="T160" s="60" t="b">
        <v>0</v>
      </c>
      <c r="U160" s="60" t="b">
        <v>0</v>
      </c>
      <c r="V160" s="60" t="b">
        <v>0</v>
      </c>
      <c r="W160" s="60" t="b">
        <v>0</v>
      </c>
    </row>
    <row r="161" spans="1:23" ht="70" x14ac:dyDescent="0.15">
      <c r="A161" s="62" t="s">
        <v>514</v>
      </c>
      <c r="B161" s="63" t="s">
        <v>67</v>
      </c>
      <c r="C161" s="64" t="s">
        <v>423</v>
      </c>
      <c r="D161" s="65" t="s">
        <v>498</v>
      </c>
      <c r="E161" s="64" t="s">
        <v>99</v>
      </c>
      <c r="F161" s="59" t="s">
        <v>515</v>
      </c>
      <c r="G161" s="60" t="s">
        <v>381</v>
      </c>
      <c r="H161" s="60" t="b">
        <v>0</v>
      </c>
      <c r="I161" s="60" t="b">
        <v>0</v>
      </c>
      <c r="J161" s="60" t="b">
        <v>0</v>
      </c>
      <c r="K161" s="60" t="b">
        <v>0</v>
      </c>
      <c r="L161" s="60" t="b">
        <v>0</v>
      </c>
      <c r="M161" s="60" t="b">
        <v>0</v>
      </c>
      <c r="N161" s="60" t="b">
        <v>0</v>
      </c>
      <c r="O161" s="60" t="b">
        <v>0</v>
      </c>
      <c r="P161" s="60" t="b">
        <v>0</v>
      </c>
      <c r="Q161" s="60" t="b">
        <v>0</v>
      </c>
      <c r="R161" s="60" t="b">
        <v>0</v>
      </c>
      <c r="S161" s="60" t="b">
        <v>0</v>
      </c>
      <c r="T161" s="60" t="b">
        <v>0</v>
      </c>
      <c r="U161" s="60" t="b">
        <v>0</v>
      </c>
      <c r="V161" s="60" t="b">
        <v>0</v>
      </c>
      <c r="W161" s="60" t="b">
        <v>0</v>
      </c>
    </row>
    <row r="162" spans="1:23" ht="56" x14ac:dyDescent="0.15">
      <c r="A162" s="62" t="s">
        <v>516</v>
      </c>
      <c r="B162" s="63" t="s">
        <v>67</v>
      </c>
      <c r="C162" s="64" t="s">
        <v>423</v>
      </c>
      <c r="D162" s="65" t="s">
        <v>517</v>
      </c>
      <c r="E162" s="64" t="s">
        <v>518</v>
      </c>
      <c r="F162" s="59" t="s">
        <v>519</v>
      </c>
      <c r="G162" s="60" t="s">
        <v>116</v>
      </c>
      <c r="H162" s="60" t="b">
        <v>0</v>
      </c>
      <c r="I162" s="60" t="b">
        <v>0</v>
      </c>
      <c r="J162" s="60" t="b">
        <v>0</v>
      </c>
      <c r="K162" s="60" t="b">
        <v>0</v>
      </c>
      <c r="L162" s="60" t="b">
        <v>1</v>
      </c>
      <c r="M162" s="60" t="b">
        <v>0</v>
      </c>
      <c r="N162" s="60" t="b">
        <v>0</v>
      </c>
      <c r="O162" s="60" t="b">
        <v>0</v>
      </c>
      <c r="P162" s="60" t="b">
        <v>0</v>
      </c>
      <c r="Q162" s="60" t="b">
        <v>0</v>
      </c>
      <c r="R162" s="60" t="b">
        <v>0</v>
      </c>
      <c r="S162" s="60" t="b">
        <v>0</v>
      </c>
      <c r="T162" s="60" t="b">
        <v>0</v>
      </c>
      <c r="U162" s="60" t="b">
        <v>0</v>
      </c>
      <c r="V162" s="60" t="b">
        <v>0</v>
      </c>
      <c r="W162" s="60" t="b">
        <v>0</v>
      </c>
    </row>
    <row r="163" spans="1:23" ht="56" x14ac:dyDescent="0.15">
      <c r="A163" s="62" t="s">
        <v>520</v>
      </c>
      <c r="B163" s="63" t="s">
        <v>67</v>
      </c>
      <c r="C163" s="64" t="s">
        <v>423</v>
      </c>
      <c r="D163" s="65" t="s">
        <v>517</v>
      </c>
      <c r="E163" s="64" t="s">
        <v>521</v>
      </c>
      <c r="F163" s="59" t="s">
        <v>522</v>
      </c>
      <c r="G163" s="60" t="s">
        <v>116</v>
      </c>
      <c r="H163" s="60" t="b">
        <v>0</v>
      </c>
      <c r="I163" s="60" t="b">
        <v>0</v>
      </c>
      <c r="J163" s="60" t="b">
        <v>0</v>
      </c>
      <c r="K163" s="60" t="b">
        <v>0</v>
      </c>
      <c r="L163" s="60" t="b">
        <v>1</v>
      </c>
      <c r="M163" s="60" t="b">
        <v>0</v>
      </c>
      <c r="N163" s="60" t="b">
        <v>0</v>
      </c>
      <c r="O163" s="60" t="b">
        <v>0</v>
      </c>
      <c r="P163" s="60" t="b">
        <v>0</v>
      </c>
      <c r="Q163" s="60" t="b">
        <v>0</v>
      </c>
      <c r="R163" s="60" t="b">
        <v>0</v>
      </c>
      <c r="S163" s="60" t="b">
        <v>0</v>
      </c>
      <c r="T163" s="60" t="b">
        <v>0</v>
      </c>
      <c r="U163" s="60" t="b">
        <v>0</v>
      </c>
      <c r="V163" s="60" t="b">
        <v>0</v>
      </c>
      <c r="W163" s="60" t="b">
        <v>0</v>
      </c>
    </row>
    <row r="164" spans="1:23" ht="70" x14ac:dyDescent="0.15">
      <c r="A164" s="62" t="s">
        <v>523</v>
      </c>
      <c r="B164" s="63" t="s">
        <v>67</v>
      </c>
      <c r="C164" s="64" t="s">
        <v>423</v>
      </c>
      <c r="D164" s="65" t="s">
        <v>517</v>
      </c>
      <c r="E164" s="64" t="s">
        <v>521</v>
      </c>
      <c r="F164" s="59" t="s">
        <v>524</v>
      </c>
      <c r="G164" s="60" t="s">
        <v>116</v>
      </c>
      <c r="H164" s="60" t="b">
        <v>0</v>
      </c>
      <c r="I164" s="60" t="b">
        <v>0</v>
      </c>
      <c r="J164" s="60" t="b">
        <v>0</v>
      </c>
      <c r="K164" s="60" t="b">
        <v>0</v>
      </c>
      <c r="L164" s="60" t="b">
        <v>1</v>
      </c>
      <c r="M164" s="60" t="b">
        <v>0</v>
      </c>
      <c r="N164" s="60" t="b">
        <v>0</v>
      </c>
      <c r="O164" s="60" t="b">
        <v>0</v>
      </c>
      <c r="P164" s="60" t="b">
        <v>0</v>
      </c>
      <c r="Q164" s="60" t="b">
        <v>0</v>
      </c>
      <c r="R164" s="60" t="b">
        <v>0</v>
      </c>
      <c r="S164" s="60" t="b">
        <v>0</v>
      </c>
      <c r="T164" s="60" t="b">
        <v>0</v>
      </c>
      <c r="U164" s="60" t="b">
        <v>0</v>
      </c>
      <c r="V164" s="60" t="b">
        <v>0</v>
      </c>
      <c r="W164" s="60" t="b">
        <v>0</v>
      </c>
    </row>
    <row r="165" spans="1:23" ht="42" x14ac:dyDescent="0.15">
      <c r="A165" s="62" t="s">
        <v>525</v>
      </c>
      <c r="B165" s="63" t="s">
        <v>67</v>
      </c>
      <c r="C165" s="64" t="s">
        <v>423</v>
      </c>
      <c r="D165" s="65" t="s">
        <v>517</v>
      </c>
      <c r="E165" s="64" t="s">
        <v>521</v>
      </c>
      <c r="F165" s="59" t="s">
        <v>526</v>
      </c>
      <c r="G165" s="60" t="s">
        <v>116</v>
      </c>
      <c r="H165" s="60" t="b">
        <v>0</v>
      </c>
      <c r="I165" s="60" t="b">
        <v>0</v>
      </c>
      <c r="J165" s="60" t="b">
        <v>0</v>
      </c>
      <c r="K165" s="60" t="b">
        <v>0</v>
      </c>
      <c r="L165" s="60" t="b">
        <v>1</v>
      </c>
      <c r="M165" s="60" t="b">
        <v>0</v>
      </c>
      <c r="N165" s="60" t="b">
        <v>0</v>
      </c>
      <c r="O165" s="60" t="b">
        <v>0</v>
      </c>
      <c r="P165" s="60" t="b">
        <v>0</v>
      </c>
      <c r="Q165" s="60" t="b">
        <v>0</v>
      </c>
      <c r="R165" s="60" t="b">
        <v>0</v>
      </c>
      <c r="S165" s="60" t="b">
        <v>0</v>
      </c>
      <c r="T165" s="60" t="b">
        <v>0</v>
      </c>
      <c r="U165" s="60" t="b">
        <v>0</v>
      </c>
      <c r="V165" s="60" t="b">
        <v>0</v>
      </c>
      <c r="W165" s="60" t="b">
        <v>0</v>
      </c>
    </row>
    <row r="166" spans="1:23" ht="84" x14ac:dyDescent="0.15">
      <c r="A166" s="62" t="s">
        <v>527</v>
      </c>
      <c r="B166" s="63" t="s">
        <v>67</v>
      </c>
      <c r="C166" s="64" t="s">
        <v>423</v>
      </c>
      <c r="D166" s="65" t="s">
        <v>517</v>
      </c>
      <c r="E166" s="64" t="s">
        <v>528</v>
      </c>
      <c r="F166" s="59" t="s">
        <v>529</v>
      </c>
      <c r="G166" s="60" t="s">
        <v>393</v>
      </c>
      <c r="H166" s="60" t="b">
        <v>0</v>
      </c>
      <c r="I166" s="60" t="b">
        <v>0</v>
      </c>
      <c r="J166" s="60" t="b">
        <v>0</v>
      </c>
      <c r="K166" s="60" t="b">
        <v>0</v>
      </c>
      <c r="L166" s="60" t="b">
        <v>0</v>
      </c>
      <c r="M166" s="60" t="b">
        <v>0</v>
      </c>
      <c r="N166" s="60" t="b">
        <v>0</v>
      </c>
      <c r="O166" s="60" t="b">
        <v>0</v>
      </c>
      <c r="P166" s="60" t="b">
        <v>0</v>
      </c>
      <c r="Q166" s="60" t="b">
        <v>0</v>
      </c>
      <c r="R166" s="60" t="b">
        <v>0</v>
      </c>
      <c r="S166" s="60" t="b">
        <v>0</v>
      </c>
      <c r="T166" s="60" t="b">
        <v>0</v>
      </c>
      <c r="U166" s="60" t="b">
        <v>0</v>
      </c>
      <c r="V166" s="60" t="b">
        <v>0</v>
      </c>
      <c r="W166" s="60" t="b">
        <v>0</v>
      </c>
    </row>
    <row r="167" spans="1:23" ht="56" x14ac:dyDescent="0.15">
      <c r="A167" s="62" t="s">
        <v>530</v>
      </c>
      <c r="B167" s="63" t="s">
        <v>67</v>
      </c>
      <c r="C167" s="64" t="s">
        <v>423</v>
      </c>
      <c r="D167" s="65" t="s">
        <v>517</v>
      </c>
      <c r="E167" s="64" t="s">
        <v>528</v>
      </c>
      <c r="F167" s="59" t="s">
        <v>531</v>
      </c>
      <c r="G167" s="60" t="s">
        <v>393</v>
      </c>
      <c r="H167" s="60" t="b">
        <v>0</v>
      </c>
      <c r="I167" s="60" t="b">
        <v>0</v>
      </c>
      <c r="J167" s="60" t="b">
        <v>0</v>
      </c>
      <c r="K167" s="60" t="b">
        <v>0</v>
      </c>
      <c r="L167" s="60" t="b">
        <v>0</v>
      </c>
      <c r="M167" s="60" t="b">
        <v>0</v>
      </c>
      <c r="N167" s="60" t="b">
        <v>0</v>
      </c>
      <c r="O167" s="60" t="b">
        <v>0</v>
      </c>
      <c r="P167" s="60" t="b">
        <v>0</v>
      </c>
      <c r="Q167" s="60" t="b">
        <v>0</v>
      </c>
      <c r="R167" s="60" t="b">
        <v>0</v>
      </c>
      <c r="S167" s="60" t="b">
        <v>0</v>
      </c>
      <c r="T167" s="60" t="b">
        <v>0</v>
      </c>
      <c r="U167" s="60" t="b">
        <v>0</v>
      </c>
      <c r="V167" s="60" t="b">
        <v>0</v>
      </c>
      <c r="W167" s="60" t="b">
        <v>0</v>
      </c>
    </row>
    <row r="168" spans="1:23" ht="28" x14ac:dyDescent="0.15">
      <c r="A168" s="62" t="s">
        <v>532</v>
      </c>
      <c r="B168" s="63" t="s">
        <v>67</v>
      </c>
      <c r="C168" s="64" t="s">
        <v>533</v>
      </c>
      <c r="D168" s="65" t="s">
        <v>534</v>
      </c>
      <c r="E168" s="64" t="s">
        <v>535</v>
      </c>
      <c r="F168" s="59" t="s">
        <v>536</v>
      </c>
      <c r="G168" s="60" t="s">
        <v>123</v>
      </c>
      <c r="H168" s="60" t="b">
        <v>0</v>
      </c>
      <c r="I168" s="60" t="b">
        <v>0</v>
      </c>
      <c r="J168" s="60" t="b">
        <v>0</v>
      </c>
      <c r="K168" s="60" t="b">
        <v>0</v>
      </c>
      <c r="L168" s="60" t="b">
        <v>0</v>
      </c>
      <c r="M168" s="60" t="b">
        <v>0</v>
      </c>
      <c r="N168" s="60" t="b">
        <v>0</v>
      </c>
      <c r="O168" s="60" t="b">
        <v>0</v>
      </c>
      <c r="P168" s="60" t="b">
        <v>0</v>
      </c>
      <c r="Q168" s="60" t="b">
        <v>0</v>
      </c>
      <c r="R168" s="60" t="b">
        <v>0</v>
      </c>
      <c r="S168" s="60" t="b">
        <v>1</v>
      </c>
      <c r="T168" s="60" t="b">
        <v>0</v>
      </c>
      <c r="U168" s="60" t="b">
        <v>0</v>
      </c>
      <c r="V168" s="60" t="b">
        <v>0</v>
      </c>
      <c r="W168" s="60" t="b">
        <v>0</v>
      </c>
    </row>
    <row r="169" spans="1:23" ht="42" x14ac:dyDescent="0.15">
      <c r="A169" s="62" t="s">
        <v>537</v>
      </c>
      <c r="B169" s="63" t="s">
        <v>67</v>
      </c>
      <c r="C169" s="64" t="s">
        <v>533</v>
      </c>
      <c r="D169" s="65" t="s">
        <v>534</v>
      </c>
      <c r="E169" s="64" t="s">
        <v>535</v>
      </c>
      <c r="F169" s="59" t="s">
        <v>538</v>
      </c>
      <c r="G169" s="60" t="s">
        <v>539</v>
      </c>
      <c r="H169" s="60" t="b">
        <v>0</v>
      </c>
      <c r="I169" s="60" t="b">
        <v>0</v>
      </c>
      <c r="J169" s="60" t="b">
        <v>0</v>
      </c>
      <c r="K169" s="60" t="b">
        <v>0</v>
      </c>
      <c r="L169" s="60" t="b">
        <v>0</v>
      </c>
      <c r="M169" s="60" t="b">
        <v>0</v>
      </c>
      <c r="N169" s="60" t="b">
        <v>0</v>
      </c>
      <c r="O169" s="60" t="b">
        <v>0</v>
      </c>
      <c r="P169" s="60" t="b">
        <v>0</v>
      </c>
      <c r="Q169" s="60" t="b">
        <v>0</v>
      </c>
      <c r="R169" s="60" t="b">
        <v>0</v>
      </c>
      <c r="S169" s="60" t="b">
        <v>1</v>
      </c>
      <c r="T169" s="60" t="b">
        <v>0</v>
      </c>
      <c r="U169" s="60" t="b">
        <v>0</v>
      </c>
      <c r="V169" s="60" t="b">
        <v>0</v>
      </c>
      <c r="W169" s="60" t="b">
        <v>0</v>
      </c>
    </row>
    <row r="170" spans="1:23" ht="42" x14ac:dyDescent="0.15">
      <c r="A170" s="62" t="s">
        <v>540</v>
      </c>
      <c r="B170" s="63" t="s">
        <v>67</v>
      </c>
      <c r="C170" s="64" t="s">
        <v>533</v>
      </c>
      <c r="D170" s="65" t="s">
        <v>534</v>
      </c>
      <c r="E170" s="64" t="s">
        <v>535</v>
      </c>
      <c r="F170" s="59" t="s">
        <v>541</v>
      </c>
      <c r="G170" s="60" t="s">
        <v>542</v>
      </c>
      <c r="H170" s="60" t="b">
        <v>0</v>
      </c>
      <c r="I170" s="60" t="b">
        <v>0</v>
      </c>
      <c r="J170" s="60" t="b">
        <v>0</v>
      </c>
      <c r="K170" s="60" t="b">
        <v>0</v>
      </c>
      <c r="L170" s="60" t="b">
        <v>0</v>
      </c>
      <c r="M170" s="60" t="b">
        <v>0</v>
      </c>
      <c r="N170" s="60" t="b">
        <v>0</v>
      </c>
      <c r="O170" s="60" t="b">
        <v>0</v>
      </c>
      <c r="P170" s="60" t="b">
        <v>1</v>
      </c>
      <c r="Q170" s="60" t="b">
        <v>1</v>
      </c>
      <c r="R170" s="60" t="b">
        <v>1</v>
      </c>
      <c r="S170" s="60" t="b">
        <v>0</v>
      </c>
      <c r="T170" s="60" t="b">
        <v>0</v>
      </c>
      <c r="U170" s="60" t="b">
        <v>0</v>
      </c>
      <c r="V170" s="60" t="b">
        <v>0</v>
      </c>
      <c r="W170" s="60" t="b">
        <v>0</v>
      </c>
    </row>
    <row r="171" spans="1:23" ht="56" x14ac:dyDescent="0.15">
      <c r="A171" s="62" t="s">
        <v>543</v>
      </c>
      <c r="B171" s="63" t="s">
        <v>67</v>
      </c>
      <c r="C171" s="64" t="s">
        <v>533</v>
      </c>
      <c r="D171" s="65" t="s">
        <v>534</v>
      </c>
      <c r="E171" s="64" t="s">
        <v>535</v>
      </c>
      <c r="F171" s="59" t="s">
        <v>544</v>
      </c>
      <c r="G171" s="60" t="s">
        <v>120</v>
      </c>
      <c r="H171" s="60" t="b">
        <v>0</v>
      </c>
      <c r="I171" s="60" t="b">
        <v>0</v>
      </c>
      <c r="J171" s="60" t="b">
        <v>0</v>
      </c>
      <c r="K171" s="60" t="b">
        <v>0</v>
      </c>
      <c r="L171" s="60" t="b">
        <v>0</v>
      </c>
      <c r="M171" s="60" t="b">
        <v>0</v>
      </c>
      <c r="N171" s="60" t="b">
        <v>0</v>
      </c>
      <c r="O171" s="60" t="b">
        <v>0</v>
      </c>
      <c r="P171" s="60" t="b">
        <v>1</v>
      </c>
      <c r="Q171" s="60" t="b">
        <v>0</v>
      </c>
      <c r="R171" s="60" t="b">
        <v>0</v>
      </c>
      <c r="S171" s="60" t="b">
        <v>0</v>
      </c>
      <c r="T171" s="60" t="b">
        <v>0</v>
      </c>
      <c r="U171" s="60" t="b">
        <v>0</v>
      </c>
      <c r="V171" s="60" t="b">
        <v>0</v>
      </c>
      <c r="W171" s="60" t="b">
        <v>0</v>
      </c>
    </row>
    <row r="172" spans="1:23" ht="28" x14ac:dyDescent="0.15">
      <c r="A172" s="62" t="s">
        <v>545</v>
      </c>
      <c r="B172" s="63" t="s">
        <v>67</v>
      </c>
      <c r="C172" s="64" t="s">
        <v>533</v>
      </c>
      <c r="D172" s="65" t="s">
        <v>534</v>
      </c>
      <c r="E172" s="64" t="s">
        <v>535</v>
      </c>
      <c r="F172" s="59" t="s">
        <v>546</v>
      </c>
      <c r="G172" s="60" t="s">
        <v>120</v>
      </c>
      <c r="H172" s="60" t="b">
        <v>0</v>
      </c>
      <c r="I172" s="60" t="b">
        <v>0</v>
      </c>
      <c r="J172" s="60" t="b">
        <v>0</v>
      </c>
      <c r="K172" s="60" t="b">
        <v>0</v>
      </c>
      <c r="L172" s="60" t="b">
        <v>0</v>
      </c>
      <c r="M172" s="60" t="b">
        <v>0</v>
      </c>
      <c r="N172" s="60" t="b">
        <v>0</v>
      </c>
      <c r="O172" s="60" t="b">
        <v>0</v>
      </c>
      <c r="P172" s="60" t="b">
        <v>1</v>
      </c>
      <c r="Q172" s="60" t="b">
        <v>0</v>
      </c>
      <c r="R172" s="60" t="b">
        <v>0</v>
      </c>
      <c r="S172" s="60" t="b">
        <v>0</v>
      </c>
      <c r="T172" s="60" t="b">
        <v>0</v>
      </c>
      <c r="U172" s="60" t="b">
        <v>0</v>
      </c>
      <c r="V172" s="60" t="b">
        <v>0</v>
      </c>
      <c r="W172" s="60" t="b">
        <v>0</v>
      </c>
    </row>
    <row r="173" spans="1:23" ht="56" x14ac:dyDescent="0.15">
      <c r="A173" s="62" t="s">
        <v>547</v>
      </c>
      <c r="B173" s="63" t="s">
        <v>67</v>
      </c>
      <c r="C173" s="64" t="s">
        <v>533</v>
      </c>
      <c r="D173" s="65" t="s">
        <v>534</v>
      </c>
      <c r="E173" s="64" t="s">
        <v>535</v>
      </c>
      <c r="F173" s="59" t="s">
        <v>548</v>
      </c>
      <c r="G173" s="60" t="s">
        <v>115</v>
      </c>
      <c r="H173" s="60" t="b">
        <v>0</v>
      </c>
      <c r="I173" s="60" t="b">
        <v>0</v>
      </c>
      <c r="J173" s="60" t="b">
        <v>0</v>
      </c>
      <c r="K173" s="60" t="b">
        <v>1</v>
      </c>
      <c r="L173" s="60" t="b">
        <v>0</v>
      </c>
      <c r="M173" s="60" t="b">
        <v>0</v>
      </c>
      <c r="N173" s="60" t="b">
        <v>0</v>
      </c>
      <c r="O173" s="60" t="b">
        <v>0</v>
      </c>
      <c r="P173" s="60" t="b">
        <v>0</v>
      </c>
      <c r="Q173" s="60" t="b">
        <v>0</v>
      </c>
      <c r="R173" s="60" t="b">
        <v>0</v>
      </c>
      <c r="S173" s="60" t="b">
        <v>0</v>
      </c>
      <c r="T173" s="60" t="b">
        <v>0</v>
      </c>
      <c r="U173" s="60" t="b">
        <v>0</v>
      </c>
      <c r="V173" s="60" t="b">
        <v>0</v>
      </c>
      <c r="W173" s="60" t="b">
        <v>0</v>
      </c>
    </row>
    <row r="174" spans="1:23" ht="98" x14ac:dyDescent="0.15">
      <c r="A174" s="62" t="s">
        <v>549</v>
      </c>
      <c r="B174" s="62" t="s">
        <v>67</v>
      </c>
      <c r="C174" s="64" t="s">
        <v>533</v>
      </c>
      <c r="D174" s="66" t="s">
        <v>534</v>
      </c>
      <c r="E174" s="64" t="s">
        <v>550</v>
      </c>
      <c r="F174" s="67" t="s">
        <v>551</v>
      </c>
      <c r="G174" s="60" t="s">
        <v>210</v>
      </c>
      <c r="H174" s="60" t="b">
        <v>0</v>
      </c>
      <c r="I174" s="60" t="b">
        <v>0</v>
      </c>
      <c r="J174" s="60" t="b">
        <v>0</v>
      </c>
      <c r="K174" s="60" t="b">
        <v>0</v>
      </c>
      <c r="L174" s="60" t="b">
        <v>0</v>
      </c>
      <c r="M174" s="60" t="b">
        <v>0</v>
      </c>
      <c r="N174" s="60" t="b">
        <v>0</v>
      </c>
      <c r="O174" s="60" t="b">
        <v>0</v>
      </c>
      <c r="P174" s="60" t="b">
        <v>1</v>
      </c>
      <c r="Q174" s="60" t="b">
        <v>1</v>
      </c>
      <c r="R174" s="60" t="b">
        <v>1</v>
      </c>
      <c r="S174" s="60" t="b">
        <v>1</v>
      </c>
      <c r="T174" s="60" t="b">
        <v>0</v>
      </c>
      <c r="U174" s="60" t="b">
        <v>0</v>
      </c>
      <c r="V174" s="60" t="b">
        <v>0</v>
      </c>
      <c r="W174" s="60" t="b">
        <v>0</v>
      </c>
    </row>
    <row r="175" spans="1:23" ht="84" x14ac:dyDescent="0.15">
      <c r="A175" s="62" t="s">
        <v>552</v>
      </c>
      <c r="B175" s="62" t="s">
        <v>67</v>
      </c>
      <c r="C175" s="64" t="s">
        <v>533</v>
      </c>
      <c r="D175" s="66" t="s">
        <v>534</v>
      </c>
      <c r="E175" s="64" t="s">
        <v>550</v>
      </c>
      <c r="F175" s="67" t="s">
        <v>553</v>
      </c>
      <c r="G175" s="60" t="s">
        <v>554</v>
      </c>
      <c r="H175" s="60" t="b">
        <v>0</v>
      </c>
      <c r="I175" s="60" t="b">
        <v>0</v>
      </c>
      <c r="J175" s="60" t="b">
        <v>0</v>
      </c>
      <c r="K175" s="60" t="b">
        <v>0</v>
      </c>
      <c r="L175" s="60" t="b">
        <v>0</v>
      </c>
      <c r="M175" s="60" t="b">
        <v>0</v>
      </c>
      <c r="N175" s="60" t="b">
        <v>0</v>
      </c>
      <c r="O175" s="60" t="b">
        <v>0</v>
      </c>
      <c r="P175" s="60" t="b">
        <v>0</v>
      </c>
      <c r="Q175" s="60" t="b">
        <v>1</v>
      </c>
      <c r="R175" s="60" t="b">
        <v>1</v>
      </c>
      <c r="S175" s="60" t="b">
        <v>1</v>
      </c>
      <c r="T175" s="60" t="b">
        <v>0</v>
      </c>
      <c r="U175" s="60" t="b">
        <v>0</v>
      </c>
      <c r="V175" s="60" t="b">
        <v>0</v>
      </c>
      <c r="W175" s="60" t="b">
        <v>0</v>
      </c>
    </row>
    <row r="176" spans="1:23" ht="70" x14ac:dyDescent="0.15">
      <c r="A176" s="62" t="s">
        <v>555</v>
      </c>
      <c r="B176" s="62" t="s">
        <v>67</v>
      </c>
      <c r="C176" s="64" t="s">
        <v>533</v>
      </c>
      <c r="D176" s="66" t="s">
        <v>534</v>
      </c>
      <c r="E176" s="64" t="s">
        <v>556</v>
      </c>
      <c r="F176" s="67" t="s">
        <v>557</v>
      </c>
      <c r="G176" s="60" t="s">
        <v>558</v>
      </c>
      <c r="H176" s="60" t="b">
        <v>0</v>
      </c>
      <c r="I176" s="60" t="b">
        <v>0</v>
      </c>
      <c r="J176" s="60" t="b">
        <v>0</v>
      </c>
      <c r="K176" s="60" t="b">
        <v>0</v>
      </c>
      <c r="L176" s="60" t="b">
        <v>0</v>
      </c>
      <c r="M176" s="60" t="b">
        <v>0</v>
      </c>
      <c r="N176" s="60" t="b">
        <v>0</v>
      </c>
      <c r="O176" s="60" t="b">
        <v>0</v>
      </c>
      <c r="P176" s="60" t="b">
        <v>1</v>
      </c>
      <c r="Q176" s="60" t="b">
        <v>0</v>
      </c>
      <c r="R176" s="60" t="b">
        <v>0</v>
      </c>
      <c r="S176" s="60" t="b">
        <v>0</v>
      </c>
      <c r="T176" s="60" t="b">
        <v>1</v>
      </c>
      <c r="U176" s="60" t="b">
        <v>0</v>
      </c>
      <c r="V176" s="60" t="b">
        <v>0</v>
      </c>
      <c r="W176" s="60" t="b">
        <v>0</v>
      </c>
    </row>
    <row r="177" spans="1:23" ht="28" x14ac:dyDescent="0.15">
      <c r="A177" s="62" t="s">
        <v>559</v>
      </c>
      <c r="B177" s="62" t="s">
        <v>67</v>
      </c>
      <c r="C177" s="64" t="s">
        <v>533</v>
      </c>
      <c r="D177" s="66" t="s">
        <v>534</v>
      </c>
      <c r="E177" s="64" t="s">
        <v>556</v>
      </c>
      <c r="F177" s="67" t="s">
        <v>560</v>
      </c>
      <c r="G177" s="60" t="s">
        <v>561</v>
      </c>
      <c r="H177" s="60" t="b">
        <v>0</v>
      </c>
      <c r="I177" s="60" t="b">
        <v>0</v>
      </c>
      <c r="J177" s="60" t="b">
        <v>0</v>
      </c>
      <c r="K177" s="60" t="b">
        <v>0</v>
      </c>
      <c r="L177" s="60" t="b">
        <v>0</v>
      </c>
      <c r="M177" s="60" t="b">
        <v>0</v>
      </c>
      <c r="N177" s="60" t="b">
        <v>0</v>
      </c>
      <c r="O177" s="60" t="b">
        <v>0</v>
      </c>
      <c r="P177" s="60" t="b">
        <v>1</v>
      </c>
      <c r="Q177" s="60" t="b">
        <v>0</v>
      </c>
      <c r="R177" s="60" t="b">
        <v>0</v>
      </c>
      <c r="S177" s="60" t="b">
        <v>1</v>
      </c>
      <c r="T177" s="60" t="b">
        <v>0</v>
      </c>
      <c r="U177" s="60" t="b">
        <v>0</v>
      </c>
      <c r="V177" s="60" t="b">
        <v>0</v>
      </c>
      <c r="W177" s="60" t="b">
        <v>0</v>
      </c>
    </row>
    <row r="178" spans="1:23" ht="42" x14ac:dyDescent="0.15">
      <c r="A178" s="62" t="s">
        <v>562</v>
      </c>
      <c r="B178" s="62" t="s">
        <v>67</v>
      </c>
      <c r="C178" s="64" t="s">
        <v>533</v>
      </c>
      <c r="D178" s="66" t="s">
        <v>534</v>
      </c>
      <c r="E178" s="64" t="s">
        <v>556</v>
      </c>
      <c r="F178" s="67" t="s">
        <v>563</v>
      </c>
      <c r="G178" s="60" t="s">
        <v>558</v>
      </c>
      <c r="H178" s="60" t="b">
        <v>0</v>
      </c>
      <c r="I178" s="60" t="b">
        <v>0</v>
      </c>
      <c r="J178" s="60" t="b">
        <v>0</v>
      </c>
      <c r="K178" s="60" t="b">
        <v>0</v>
      </c>
      <c r="L178" s="60" t="b">
        <v>0</v>
      </c>
      <c r="M178" s="60" t="b">
        <v>0</v>
      </c>
      <c r="N178" s="60" t="b">
        <v>0</v>
      </c>
      <c r="O178" s="60" t="b">
        <v>0</v>
      </c>
      <c r="P178" s="60" t="b">
        <v>1</v>
      </c>
      <c r="Q178" s="60" t="b">
        <v>0</v>
      </c>
      <c r="R178" s="60" t="b">
        <v>0</v>
      </c>
      <c r="S178" s="60" t="b">
        <v>0</v>
      </c>
      <c r="T178" s="60" t="b">
        <v>1</v>
      </c>
      <c r="U178" s="60" t="b">
        <v>0</v>
      </c>
      <c r="V178" s="60" t="b">
        <v>0</v>
      </c>
      <c r="W178" s="60" t="b">
        <v>0</v>
      </c>
    </row>
    <row r="179" spans="1:23" ht="28" x14ac:dyDescent="0.15">
      <c r="A179" s="62" t="s">
        <v>564</v>
      </c>
      <c r="B179" s="62" t="s">
        <v>67</v>
      </c>
      <c r="C179" s="64" t="s">
        <v>533</v>
      </c>
      <c r="D179" s="66" t="s">
        <v>534</v>
      </c>
      <c r="E179" s="64" t="s">
        <v>565</v>
      </c>
      <c r="F179" s="67" t="s">
        <v>566</v>
      </c>
      <c r="G179" s="60" t="s">
        <v>567</v>
      </c>
      <c r="H179" s="60" t="b">
        <v>0</v>
      </c>
      <c r="I179" s="60" t="b">
        <v>0</v>
      </c>
      <c r="J179" s="60" t="b">
        <v>0</v>
      </c>
      <c r="K179" s="60" t="b">
        <v>0</v>
      </c>
      <c r="L179" s="60" t="b">
        <v>0</v>
      </c>
      <c r="M179" s="60" t="b">
        <v>0</v>
      </c>
      <c r="N179" s="60" t="b">
        <v>0</v>
      </c>
      <c r="O179" s="60" t="b">
        <v>0</v>
      </c>
      <c r="P179" s="60" t="b">
        <v>1</v>
      </c>
      <c r="Q179" s="60" t="b">
        <v>1</v>
      </c>
      <c r="R179" s="60" t="b">
        <v>0</v>
      </c>
      <c r="S179" s="60" t="b">
        <v>0</v>
      </c>
      <c r="T179" s="60" t="b">
        <v>0</v>
      </c>
      <c r="U179" s="60" t="b">
        <v>0</v>
      </c>
      <c r="V179" s="60" t="b">
        <v>0</v>
      </c>
      <c r="W179" s="60" t="b">
        <v>0</v>
      </c>
    </row>
    <row r="180" spans="1:23" ht="28" x14ac:dyDescent="0.15">
      <c r="A180" s="62" t="s">
        <v>568</v>
      </c>
      <c r="B180" s="62" t="s">
        <v>67</v>
      </c>
      <c r="C180" s="64" t="s">
        <v>533</v>
      </c>
      <c r="D180" s="66" t="s">
        <v>534</v>
      </c>
      <c r="E180" s="64" t="s">
        <v>565</v>
      </c>
      <c r="F180" s="67" t="s">
        <v>569</v>
      </c>
      <c r="G180" s="60" t="s">
        <v>570</v>
      </c>
      <c r="H180" s="60" t="b">
        <v>0</v>
      </c>
      <c r="I180" s="60" t="b">
        <v>0</v>
      </c>
      <c r="J180" s="60" t="b">
        <v>0</v>
      </c>
      <c r="K180" s="60" t="b">
        <v>0</v>
      </c>
      <c r="L180" s="60" t="b">
        <v>0</v>
      </c>
      <c r="M180" s="60" t="b">
        <v>0</v>
      </c>
      <c r="N180" s="60" t="b">
        <v>0</v>
      </c>
      <c r="O180" s="60" t="b">
        <v>0</v>
      </c>
      <c r="P180" s="60" t="b">
        <v>0</v>
      </c>
      <c r="Q180" s="60" t="b">
        <v>0</v>
      </c>
      <c r="R180" s="60" t="b">
        <v>0</v>
      </c>
      <c r="S180" s="60" t="b">
        <v>0</v>
      </c>
      <c r="T180" s="60" t="b">
        <v>0</v>
      </c>
      <c r="U180" s="60" t="b">
        <v>0</v>
      </c>
      <c r="V180" s="60" t="b">
        <v>0</v>
      </c>
      <c r="W180" s="60" t="b">
        <v>0</v>
      </c>
    </row>
    <row r="181" spans="1:23" ht="56" x14ac:dyDescent="0.15">
      <c r="A181" s="62" t="s">
        <v>571</v>
      </c>
      <c r="B181" s="62" t="s">
        <v>67</v>
      </c>
      <c r="C181" s="64" t="s">
        <v>533</v>
      </c>
      <c r="D181" s="66" t="s">
        <v>534</v>
      </c>
      <c r="E181" s="64" t="s">
        <v>565</v>
      </c>
      <c r="F181" s="67" t="s">
        <v>572</v>
      </c>
      <c r="G181" s="60" t="s">
        <v>120</v>
      </c>
      <c r="H181" s="60" t="b">
        <v>0</v>
      </c>
      <c r="I181" s="60" t="b">
        <v>0</v>
      </c>
      <c r="J181" s="60" t="b">
        <v>0</v>
      </c>
      <c r="K181" s="60" t="b">
        <v>0</v>
      </c>
      <c r="L181" s="60" t="b">
        <v>0</v>
      </c>
      <c r="M181" s="60" t="b">
        <v>0</v>
      </c>
      <c r="N181" s="60" t="b">
        <v>0</v>
      </c>
      <c r="O181" s="60" t="b">
        <v>0</v>
      </c>
      <c r="P181" s="60" t="b">
        <v>1</v>
      </c>
      <c r="Q181" s="60" t="b">
        <v>0</v>
      </c>
      <c r="R181" s="60" t="b">
        <v>0</v>
      </c>
      <c r="S181" s="60" t="b">
        <v>0</v>
      </c>
      <c r="T181" s="60" t="b">
        <v>0</v>
      </c>
      <c r="U181" s="60" t="b">
        <v>0</v>
      </c>
      <c r="V181" s="60" t="b">
        <v>0</v>
      </c>
      <c r="W181" s="60" t="b">
        <v>0</v>
      </c>
    </row>
    <row r="182" spans="1:23" ht="42" x14ac:dyDescent="0.15">
      <c r="A182" s="62" t="s">
        <v>573</v>
      </c>
      <c r="B182" s="62" t="s">
        <v>67</v>
      </c>
      <c r="C182" s="64" t="s">
        <v>533</v>
      </c>
      <c r="D182" s="66" t="s">
        <v>534</v>
      </c>
      <c r="E182" s="64" t="s">
        <v>565</v>
      </c>
      <c r="F182" s="67" t="s">
        <v>574</v>
      </c>
      <c r="G182" s="60" t="s">
        <v>201</v>
      </c>
      <c r="H182" s="60" t="b">
        <v>0</v>
      </c>
      <c r="I182" s="60" t="b">
        <v>0</v>
      </c>
      <c r="J182" s="60" t="b">
        <v>0</v>
      </c>
      <c r="K182" s="60" t="b">
        <v>0</v>
      </c>
      <c r="L182" s="60" t="b">
        <v>0</v>
      </c>
      <c r="M182" s="60" t="b">
        <v>0</v>
      </c>
      <c r="N182" s="60" t="b">
        <v>0</v>
      </c>
      <c r="O182" s="60" t="b">
        <v>0</v>
      </c>
      <c r="P182" s="60" t="b">
        <v>0</v>
      </c>
      <c r="Q182" s="60" t="b">
        <v>0</v>
      </c>
      <c r="R182" s="60" t="b">
        <v>0</v>
      </c>
      <c r="S182" s="60" t="b">
        <v>0</v>
      </c>
      <c r="T182" s="60" t="b">
        <v>0</v>
      </c>
      <c r="U182" s="60" t="b">
        <v>0</v>
      </c>
      <c r="V182" s="60" t="b">
        <v>0</v>
      </c>
      <c r="W182" s="60" t="b">
        <v>0</v>
      </c>
    </row>
    <row r="183" spans="1:23" ht="56" x14ac:dyDescent="0.15">
      <c r="A183" s="62" t="s">
        <v>575</v>
      </c>
      <c r="B183" s="62" t="s">
        <v>67</v>
      </c>
      <c r="C183" s="64" t="s">
        <v>533</v>
      </c>
      <c r="D183" s="66" t="s">
        <v>534</v>
      </c>
      <c r="E183" s="64" t="s">
        <v>576</v>
      </c>
      <c r="F183" s="67" t="s">
        <v>577</v>
      </c>
      <c r="G183" s="60" t="s">
        <v>121</v>
      </c>
      <c r="H183" s="60" t="b">
        <v>0</v>
      </c>
      <c r="I183" s="60" t="b">
        <v>0</v>
      </c>
      <c r="J183" s="60" t="b">
        <v>0</v>
      </c>
      <c r="K183" s="60" t="b">
        <v>0</v>
      </c>
      <c r="L183" s="60" t="b">
        <v>0</v>
      </c>
      <c r="M183" s="60" t="b">
        <v>0</v>
      </c>
      <c r="N183" s="60" t="b">
        <v>0</v>
      </c>
      <c r="O183" s="60" t="b">
        <v>0</v>
      </c>
      <c r="P183" s="60" t="b">
        <v>0</v>
      </c>
      <c r="Q183" s="60" t="b">
        <v>1</v>
      </c>
      <c r="R183" s="60" t="b">
        <v>0</v>
      </c>
      <c r="S183" s="60" t="b">
        <v>0</v>
      </c>
      <c r="T183" s="60" t="b">
        <v>0</v>
      </c>
      <c r="U183" s="60" t="b">
        <v>0</v>
      </c>
      <c r="V183" s="60" t="b">
        <v>0</v>
      </c>
      <c r="W183" s="60" t="b">
        <v>0</v>
      </c>
    </row>
    <row r="184" spans="1:23" ht="56" x14ac:dyDescent="0.15">
      <c r="A184" s="62" t="s">
        <v>578</v>
      </c>
      <c r="B184" s="62" t="s">
        <v>67</v>
      </c>
      <c r="C184" s="64" t="s">
        <v>533</v>
      </c>
      <c r="D184" s="66" t="s">
        <v>534</v>
      </c>
      <c r="E184" s="64" t="s">
        <v>576</v>
      </c>
      <c r="F184" s="67" t="s">
        <v>579</v>
      </c>
      <c r="G184" s="60" t="s">
        <v>121</v>
      </c>
      <c r="H184" s="60" t="b">
        <v>0</v>
      </c>
      <c r="I184" s="60" t="b">
        <v>0</v>
      </c>
      <c r="J184" s="60" t="b">
        <v>0</v>
      </c>
      <c r="K184" s="60" t="b">
        <v>0</v>
      </c>
      <c r="L184" s="60" t="b">
        <v>0</v>
      </c>
      <c r="M184" s="60" t="b">
        <v>0</v>
      </c>
      <c r="N184" s="60" t="b">
        <v>0</v>
      </c>
      <c r="O184" s="60" t="b">
        <v>0</v>
      </c>
      <c r="P184" s="60" t="b">
        <v>0</v>
      </c>
      <c r="Q184" s="60" t="b">
        <v>1</v>
      </c>
      <c r="R184" s="60" t="b">
        <v>0</v>
      </c>
      <c r="S184" s="60" t="b">
        <v>0</v>
      </c>
      <c r="T184" s="60" t="b">
        <v>0</v>
      </c>
      <c r="U184" s="60" t="b">
        <v>0</v>
      </c>
      <c r="V184" s="60" t="b">
        <v>0</v>
      </c>
      <c r="W184" s="60" t="b">
        <v>0</v>
      </c>
    </row>
    <row r="185" spans="1:23" ht="28" x14ac:dyDescent="0.15">
      <c r="A185" s="62" t="s">
        <v>580</v>
      </c>
      <c r="B185" s="62" t="s">
        <v>67</v>
      </c>
      <c r="C185" s="64" t="s">
        <v>533</v>
      </c>
      <c r="D185" s="66" t="s">
        <v>534</v>
      </c>
      <c r="E185" s="64" t="s">
        <v>576</v>
      </c>
      <c r="F185" s="67" t="s">
        <v>581</v>
      </c>
      <c r="G185" s="60" t="s">
        <v>121</v>
      </c>
      <c r="H185" s="60" t="b">
        <v>0</v>
      </c>
      <c r="I185" s="60" t="b">
        <v>0</v>
      </c>
      <c r="J185" s="60" t="b">
        <v>0</v>
      </c>
      <c r="K185" s="60" t="b">
        <v>0</v>
      </c>
      <c r="L185" s="60" t="b">
        <v>0</v>
      </c>
      <c r="M185" s="60" t="b">
        <v>0</v>
      </c>
      <c r="N185" s="60" t="b">
        <v>0</v>
      </c>
      <c r="O185" s="60" t="b">
        <v>0</v>
      </c>
      <c r="P185" s="60" t="b">
        <v>0</v>
      </c>
      <c r="Q185" s="60" t="b">
        <v>1</v>
      </c>
      <c r="R185" s="60" t="b">
        <v>0</v>
      </c>
      <c r="S185" s="60" t="b">
        <v>0</v>
      </c>
      <c r="T185" s="60" t="b">
        <v>0</v>
      </c>
      <c r="U185" s="60" t="b">
        <v>0</v>
      </c>
      <c r="V185" s="60" t="b">
        <v>0</v>
      </c>
      <c r="W185" s="60" t="b">
        <v>0</v>
      </c>
    </row>
    <row r="186" spans="1:23" ht="42" x14ac:dyDescent="0.15">
      <c r="A186" s="62" t="s">
        <v>582</v>
      </c>
      <c r="B186" s="62" t="s">
        <v>67</v>
      </c>
      <c r="C186" s="64" t="s">
        <v>533</v>
      </c>
      <c r="D186" s="66" t="s">
        <v>534</v>
      </c>
      <c r="E186" s="64" t="s">
        <v>583</v>
      </c>
      <c r="F186" s="67" t="s">
        <v>584</v>
      </c>
      <c r="G186" s="60" t="s">
        <v>585</v>
      </c>
      <c r="H186" s="60" t="b">
        <v>0</v>
      </c>
      <c r="I186" s="60" t="b">
        <v>0</v>
      </c>
      <c r="J186" s="60" t="b">
        <v>0</v>
      </c>
      <c r="K186" s="60" t="b">
        <v>0</v>
      </c>
      <c r="L186" s="60" t="b">
        <v>0</v>
      </c>
      <c r="M186" s="60" t="b">
        <v>0</v>
      </c>
      <c r="N186" s="60" t="b">
        <v>0</v>
      </c>
      <c r="O186" s="60" t="b">
        <v>0</v>
      </c>
      <c r="P186" s="60" t="b">
        <v>0</v>
      </c>
      <c r="Q186" s="60" t="b">
        <v>1</v>
      </c>
      <c r="R186" s="60" t="b">
        <v>0</v>
      </c>
      <c r="S186" s="60" t="b">
        <v>1</v>
      </c>
      <c r="T186" s="60" t="b">
        <v>1</v>
      </c>
      <c r="U186" s="60" t="b">
        <v>0</v>
      </c>
      <c r="V186" s="60" t="b">
        <v>0</v>
      </c>
      <c r="W186" s="60" t="b">
        <v>0</v>
      </c>
    </row>
    <row r="187" spans="1:23" ht="56" x14ac:dyDescent="0.15">
      <c r="A187" s="62" t="s">
        <v>586</v>
      </c>
      <c r="B187" s="62" t="s">
        <v>67</v>
      </c>
      <c r="C187" s="64" t="s">
        <v>533</v>
      </c>
      <c r="D187" s="66" t="s">
        <v>534</v>
      </c>
      <c r="E187" s="64" t="s">
        <v>583</v>
      </c>
      <c r="F187" s="67" t="s">
        <v>587</v>
      </c>
      <c r="G187" s="60" t="s">
        <v>180</v>
      </c>
      <c r="H187" s="60" t="b">
        <v>0</v>
      </c>
      <c r="I187" s="60" t="b">
        <v>0</v>
      </c>
      <c r="J187" s="60" t="b">
        <v>0</v>
      </c>
      <c r="K187" s="60" t="b">
        <v>0</v>
      </c>
      <c r="L187" s="60" t="b">
        <v>0</v>
      </c>
      <c r="M187" s="60" t="b">
        <v>0</v>
      </c>
      <c r="N187" s="60" t="b">
        <v>0</v>
      </c>
      <c r="O187" s="60" t="b">
        <v>0</v>
      </c>
      <c r="P187" s="60" t="b">
        <v>0</v>
      </c>
      <c r="Q187" s="60" t="b">
        <v>0</v>
      </c>
      <c r="R187" s="60" t="b">
        <v>0</v>
      </c>
      <c r="S187" s="60" t="b">
        <v>1</v>
      </c>
      <c r="T187" s="60" t="b">
        <v>1</v>
      </c>
      <c r="U187" s="60" t="b">
        <v>0</v>
      </c>
      <c r="V187" s="60" t="b">
        <v>0</v>
      </c>
      <c r="W187" s="60" t="b">
        <v>0</v>
      </c>
    </row>
    <row r="188" spans="1:23" ht="42" x14ac:dyDescent="0.15">
      <c r="A188" s="62" t="s">
        <v>588</v>
      </c>
      <c r="B188" s="62" t="s">
        <v>67</v>
      </c>
      <c r="C188" s="64" t="s">
        <v>533</v>
      </c>
      <c r="D188" s="66" t="s">
        <v>534</v>
      </c>
      <c r="E188" s="64" t="s">
        <v>583</v>
      </c>
      <c r="F188" s="67" t="s">
        <v>589</v>
      </c>
      <c r="G188" s="60" t="s">
        <v>123</v>
      </c>
      <c r="H188" s="60" t="b">
        <v>0</v>
      </c>
      <c r="I188" s="60" t="b">
        <v>0</v>
      </c>
      <c r="J188" s="60" t="b">
        <v>0</v>
      </c>
      <c r="K188" s="60" t="b">
        <v>0</v>
      </c>
      <c r="L188" s="60" t="b">
        <v>0</v>
      </c>
      <c r="M188" s="60" t="b">
        <v>0</v>
      </c>
      <c r="N188" s="60" t="b">
        <v>0</v>
      </c>
      <c r="O188" s="60" t="b">
        <v>0</v>
      </c>
      <c r="P188" s="60" t="b">
        <v>0</v>
      </c>
      <c r="Q188" s="60" t="b">
        <v>0</v>
      </c>
      <c r="R188" s="60" t="b">
        <v>0</v>
      </c>
      <c r="S188" s="60" t="b">
        <v>1</v>
      </c>
      <c r="T188" s="60" t="b">
        <v>0</v>
      </c>
      <c r="U188" s="60" t="b">
        <v>0</v>
      </c>
      <c r="V188" s="60" t="b">
        <v>0</v>
      </c>
      <c r="W188" s="60" t="b">
        <v>0</v>
      </c>
    </row>
    <row r="189" spans="1:23" ht="28" x14ac:dyDescent="0.15">
      <c r="A189" s="62" t="s">
        <v>590</v>
      </c>
      <c r="B189" s="62" t="s">
        <v>68</v>
      </c>
      <c r="C189" s="64" t="s">
        <v>591</v>
      </c>
      <c r="D189" s="66" t="s">
        <v>592</v>
      </c>
      <c r="E189" s="64" t="s">
        <v>593</v>
      </c>
      <c r="F189" s="67" t="s">
        <v>594</v>
      </c>
      <c r="G189" s="60" t="s">
        <v>113</v>
      </c>
      <c r="H189" s="60" t="b">
        <v>0</v>
      </c>
      <c r="I189" s="60" t="b">
        <v>1</v>
      </c>
      <c r="J189" s="60" t="b">
        <v>0</v>
      </c>
      <c r="K189" s="60" t="b">
        <v>0</v>
      </c>
      <c r="L189" s="60" t="b">
        <v>0</v>
      </c>
      <c r="M189" s="60" t="b">
        <v>0</v>
      </c>
      <c r="N189" s="60" t="b">
        <v>0</v>
      </c>
      <c r="O189" s="60" t="b">
        <v>0</v>
      </c>
      <c r="P189" s="60" t="b">
        <v>0</v>
      </c>
      <c r="Q189" s="60" t="b">
        <v>0</v>
      </c>
      <c r="R189" s="60" t="b">
        <v>0</v>
      </c>
      <c r="S189" s="60" t="b">
        <v>0</v>
      </c>
      <c r="T189" s="60" t="b">
        <v>0</v>
      </c>
      <c r="U189" s="60" t="b">
        <v>0</v>
      </c>
      <c r="V189" s="60" t="b">
        <v>0</v>
      </c>
      <c r="W189" s="60" t="b">
        <v>0</v>
      </c>
    </row>
    <row r="190" spans="1:23" ht="168" x14ac:dyDescent="0.15">
      <c r="A190" s="62" t="s">
        <v>595</v>
      </c>
      <c r="B190" s="62" t="s">
        <v>68</v>
      </c>
      <c r="C190" s="64" t="s">
        <v>591</v>
      </c>
      <c r="D190" s="66" t="s">
        <v>592</v>
      </c>
      <c r="E190" s="64" t="s">
        <v>593</v>
      </c>
      <c r="F190" s="67" t="s">
        <v>596</v>
      </c>
      <c r="G190" s="60" t="s">
        <v>113</v>
      </c>
      <c r="H190" s="60" t="b">
        <v>0</v>
      </c>
      <c r="I190" s="60" t="b">
        <v>1</v>
      </c>
      <c r="J190" s="60" t="b">
        <v>0</v>
      </c>
      <c r="K190" s="60" t="b">
        <v>0</v>
      </c>
      <c r="L190" s="60" t="b">
        <v>0</v>
      </c>
      <c r="M190" s="60" t="b">
        <v>0</v>
      </c>
      <c r="N190" s="60" t="b">
        <v>0</v>
      </c>
      <c r="O190" s="60" t="b">
        <v>0</v>
      </c>
      <c r="P190" s="60" t="b">
        <v>0</v>
      </c>
      <c r="Q190" s="60" t="b">
        <v>0</v>
      </c>
      <c r="R190" s="60" t="b">
        <v>0</v>
      </c>
      <c r="S190" s="60" t="b">
        <v>0</v>
      </c>
      <c r="T190" s="60" t="b">
        <v>0</v>
      </c>
      <c r="U190" s="60" t="b">
        <v>0</v>
      </c>
      <c r="V190" s="60" t="b">
        <v>0</v>
      </c>
      <c r="W190" s="60" t="b">
        <v>0</v>
      </c>
    </row>
    <row r="191" spans="1:23" ht="28" x14ac:dyDescent="0.15">
      <c r="A191" s="62" t="s">
        <v>597</v>
      </c>
      <c r="B191" s="62" t="s">
        <v>68</v>
      </c>
      <c r="C191" s="64" t="s">
        <v>591</v>
      </c>
      <c r="D191" s="66" t="s">
        <v>592</v>
      </c>
      <c r="E191" s="64" t="s">
        <v>593</v>
      </c>
      <c r="F191" s="67" t="s">
        <v>598</v>
      </c>
      <c r="G191" s="60" t="s">
        <v>599</v>
      </c>
      <c r="H191" s="60" t="b">
        <v>0</v>
      </c>
      <c r="I191" s="60" t="b">
        <v>0</v>
      </c>
      <c r="J191" s="60" t="b">
        <v>0</v>
      </c>
      <c r="K191" s="60" t="b">
        <v>0</v>
      </c>
      <c r="L191" s="60" t="b">
        <v>0</v>
      </c>
      <c r="M191" s="60" t="b">
        <v>0</v>
      </c>
      <c r="N191" s="60" t="b">
        <v>0</v>
      </c>
      <c r="O191" s="60" t="b">
        <v>0</v>
      </c>
      <c r="P191" s="60" t="b">
        <v>0</v>
      </c>
      <c r="Q191" s="60" t="b">
        <v>0</v>
      </c>
      <c r="R191" s="60" t="b">
        <v>0</v>
      </c>
      <c r="S191" s="60" t="b">
        <v>0</v>
      </c>
      <c r="T191" s="60" t="b">
        <v>0</v>
      </c>
      <c r="U191" s="60" t="b">
        <v>0</v>
      </c>
      <c r="V191" s="60" t="b">
        <v>0</v>
      </c>
      <c r="W191" s="60" t="b">
        <v>0</v>
      </c>
    </row>
    <row r="192" spans="1:23" ht="28" x14ac:dyDescent="0.15">
      <c r="A192" s="62" t="s">
        <v>600</v>
      </c>
      <c r="B192" s="62" t="s">
        <v>68</v>
      </c>
      <c r="C192" s="64" t="s">
        <v>591</v>
      </c>
      <c r="D192" s="66" t="s">
        <v>592</v>
      </c>
      <c r="E192" s="64" t="s">
        <v>593</v>
      </c>
      <c r="F192" s="67" t="s">
        <v>601</v>
      </c>
      <c r="G192" s="60" t="s">
        <v>113</v>
      </c>
      <c r="H192" s="60" t="b">
        <v>0</v>
      </c>
      <c r="I192" s="60" t="b">
        <v>1</v>
      </c>
      <c r="J192" s="60" t="b">
        <v>0</v>
      </c>
      <c r="K192" s="60" t="b">
        <v>0</v>
      </c>
      <c r="L192" s="60" t="b">
        <v>0</v>
      </c>
      <c r="M192" s="60" t="b">
        <v>0</v>
      </c>
      <c r="N192" s="60" t="b">
        <v>0</v>
      </c>
      <c r="O192" s="60" t="b">
        <v>0</v>
      </c>
      <c r="P192" s="60" t="b">
        <v>0</v>
      </c>
      <c r="Q192" s="60" t="b">
        <v>0</v>
      </c>
      <c r="R192" s="60" t="b">
        <v>0</v>
      </c>
      <c r="S192" s="60" t="b">
        <v>0</v>
      </c>
      <c r="T192" s="60" t="b">
        <v>0</v>
      </c>
      <c r="U192" s="60" t="b">
        <v>0</v>
      </c>
      <c r="V192" s="60" t="b">
        <v>0</v>
      </c>
      <c r="W192" s="60" t="b">
        <v>0</v>
      </c>
    </row>
    <row r="193" spans="1:23" ht="56" x14ac:dyDescent="0.15">
      <c r="A193" s="62" t="s">
        <v>602</v>
      </c>
      <c r="B193" s="62" t="s">
        <v>68</v>
      </c>
      <c r="C193" s="64" t="s">
        <v>591</v>
      </c>
      <c r="D193" s="66" t="s">
        <v>592</v>
      </c>
      <c r="E193" s="64" t="s">
        <v>593</v>
      </c>
      <c r="F193" s="67" t="s">
        <v>603</v>
      </c>
      <c r="G193" s="60" t="s">
        <v>113</v>
      </c>
      <c r="H193" s="60" t="b">
        <v>0</v>
      </c>
      <c r="I193" s="60" t="b">
        <v>1</v>
      </c>
      <c r="J193" s="60" t="b">
        <v>0</v>
      </c>
      <c r="K193" s="60" t="b">
        <v>0</v>
      </c>
      <c r="L193" s="60" t="b">
        <v>0</v>
      </c>
      <c r="M193" s="60" t="b">
        <v>0</v>
      </c>
      <c r="N193" s="60" t="b">
        <v>0</v>
      </c>
      <c r="O193" s="60" t="b">
        <v>0</v>
      </c>
      <c r="P193" s="60" t="b">
        <v>0</v>
      </c>
      <c r="Q193" s="60" t="b">
        <v>0</v>
      </c>
      <c r="R193" s="60" t="b">
        <v>0</v>
      </c>
      <c r="S193" s="60" t="b">
        <v>0</v>
      </c>
      <c r="T193" s="60" t="b">
        <v>0</v>
      </c>
      <c r="U193" s="60" t="b">
        <v>0</v>
      </c>
      <c r="V193" s="60" t="b">
        <v>0</v>
      </c>
      <c r="W193" s="60" t="b">
        <v>0</v>
      </c>
    </row>
    <row r="194" spans="1:23" ht="98" x14ac:dyDescent="0.15">
      <c r="A194" s="62" t="s">
        <v>604</v>
      </c>
      <c r="B194" s="62" t="s">
        <v>68</v>
      </c>
      <c r="C194" s="64" t="s">
        <v>591</v>
      </c>
      <c r="D194" s="66" t="s">
        <v>592</v>
      </c>
      <c r="E194" s="64" t="s">
        <v>605</v>
      </c>
      <c r="F194" s="67" t="s">
        <v>606</v>
      </c>
      <c r="G194" s="60" t="s">
        <v>113</v>
      </c>
      <c r="H194" s="60" t="b">
        <v>0</v>
      </c>
      <c r="I194" s="60" t="b">
        <v>1</v>
      </c>
      <c r="J194" s="60" t="b">
        <v>0</v>
      </c>
      <c r="K194" s="60" t="b">
        <v>0</v>
      </c>
      <c r="L194" s="60" t="b">
        <v>0</v>
      </c>
      <c r="M194" s="60" t="b">
        <v>0</v>
      </c>
      <c r="N194" s="60" t="b">
        <v>0</v>
      </c>
      <c r="O194" s="60" t="b">
        <v>0</v>
      </c>
      <c r="P194" s="60" t="b">
        <v>0</v>
      </c>
      <c r="Q194" s="60" t="b">
        <v>0</v>
      </c>
      <c r="R194" s="60" t="b">
        <v>0</v>
      </c>
      <c r="S194" s="60" t="b">
        <v>0</v>
      </c>
      <c r="T194" s="60" t="b">
        <v>0</v>
      </c>
      <c r="U194" s="60" t="b">
        <v>0</v>
      </c>
      <c r="V194" s="60" t="b">
        <v>0</v>
      </c>
      <c r="W194" s="60" t="b">
        <v>0</v>
      </c>
    </row>
    <row r="195" spans="1:23" ht="56" x14ac:dyDescent="0.15">
      <c r="A195" s="62" t="s">
        <v>607</v>
      </c>
      <c r="B195" s="62" t="s">
        <v>68</v>
      </c>
      <c r="C195" s="64" t="s">
        <v>591</v>
      </c>
      <c r="D195" s="66" t="s">
        <v>592</v>
      </c>
      <c r="E195" s="64" t="s">
        <v>608</v>
      </c>
      <c r="F195" s="67" t="s">
        <v>609</v>
      </c>
      <c r="G195" s="60"/>
      <c r="H195" s="60" t="b">
        <v>0</v>
      </c>
      <c r="I195" s="60" t="b">
        <v>0</v>
      </c>
      <c r="J195" s="60" t="b">
        <v>0</v>
      </c>
      <c r="K195" s="60" t="b">
        <v>0</v>
      </c>
      <c r="L195" s="60" t="b">
        <v>0</v>
      </c>
      <c r="M195" s="60" t="b">
        <v>0</v>
      </c>
      <c r="N195" s="60" t="b">
        <v>0</v>
      </c>
      <c r="O195" s="60" t="b">
        <v>0</v>
      </c>
      <c r="P195" s="60" t="b">
        <v>0</v>
      </c>
      <c r="Q195" s="60" t="b">
        <v>0</v>
      </c>
      <c r="R195" s="60" t="b">
        <v>0</v>
      </c>
      <c r="S195" s="60" t="b">
        <v>0</v>
      </c>
      <c r="T195" s="60" t="b">
        <v>0</v>
      </c>
      <c r="U195" s="60" t="b">
        <v>0</v>
      </c>
      <c r="V195" s="60" t="b">
        <v>0</v>
      </c>
      <c r="W195" s="60" t="b">
        <v>0</v>
      </c>
    </row>
    <row r="196" spans="1:23" ht="84" x14ac:dyDescent="0.15">
      <c r="A196" s="62" t="s">
        <v>610</v>
      </c>
      <c r="B196" s="62" t="s">
        <v>68</v>
      </c>
      <c r="C196" s="64" t="s">
        <v>591</v>
      </c>
      <c r="D196" s="66" t="s">
        <v>592</v>
      </c>
      <c r="E196" s="64" t="s">
        <v>611</v>
      </c>
      <c r="F196" s="67" t="s">
        <v>612</v>
      </c>
      <c r="G196" s="60" t="s">
        <v>113</v>
      </c>
      <c r="H196" s="60" t="b">
        <v>0</v>
      </c>
      <c r="I196" s="60" t="b">
        <v>1</v>
      </c>
      <c r="J196" s="60" t="b">
        <v>0</v>
      </c>
      <c r="K196" s="60" t="b">
        <v>0</v>
      </c>
      <c r="L196" s="60" t="b">
        <v>0</v>
      </c>
      <c r="M196" s="60" t="b">
        <v>0</v>
      </c>
      <c r="N196" s="60" t="b">
        <v>0</v>
      </c>
      <c r="O196" s="60" t="b">
        <v>0</v>
      </c>
      <c r="P196" s="60" t="b">
        <v>0</v>
      </c>
      <c r="Q196" s="60" t="b">
        <v>0</v>
      </c>
      <c r="R196" s="60" t="b">
        <v>0</v>
      </c>
      <c r="S196" s="60" t="b">
        <v>0</v>
      </c>
      <c r="T196" s="60" t="b">
        <v>0</v>
      </c>
      <c r="U196" s="60" t="b">
        <v>0</v>
      </c>
      <c r="V196" s="60" t="b">
        <v>0</v>
      </c>
      <c r="W196" s="60" t="b">
        <v>0</v>
      </c>
    </row>
    <row r="197" spans="1:23" ht="112" x14ac:dyDescent="0.15">
      <c r="A197" s="62" t="s">
        <v>613</v>
      </c>
      <c r="B197" s="62" t="s">
        <v>68</v>
      </c>
      <c r="C197" s="64" t="s">
        <v>591</v>
      </c>
      <c r="D197" s="66" t="s">
        <v>592</v>
      </c>
      <c r="E197" s="64" t="s">
        <v>611</v>
      </c>
      <c r="F197" s="67" t="s">
        <v>614</v>
      </c>
      <c r="G197" s="60" t="s">
        <v>113</v>
      </c>
      <c r="H197" s="60" t="b">
        <v>0</v>
      </c>
      <c r="I197" s="60" t="b">
        <v>1</v>
      </c>
      <c r="J197" s="60" t="b">
        <v>0</v>
      </c>
      <c r="K197" s="60" t="b">
        <v>0</v>
      </c>
      <c r="L197" s="60" t="b">
        <v>0</v>
      </c>
      <c r="M197" s="60" t="b">
        <v>0</v>
      </c>
      <c r="N197" s="60" t="b">
        <v>0</v>
      </c>
      <c r="O197" s="60" t="b">
        <v>0</v>
      </c>
      <c r="P197" s="60" t="b">
        <v>0</v>
      </c>
      <c r="Q197" s="60" t="b">
        <v>0</v>
      </c>
      <c r="R197" s="60" t="b">
        <v>0</v>
      </c>
      <c r="S197" s="60" t="b">
        <v>0</v>
      </c>
      <c r="T197" s="60" t="b">
        <v>0</v>
      </c>
      <c r="U197" s="60" t="b">
        <v>0</v>
      </c>
      <c r="V197" s="60" t="b">
        <v>0</v>
      </c>
      <c r="W197" s="60" t="b">
        <v>0</v>
      </c>
    </row>
    <row r="198" spans="1:23" ht="28" x14ac:dyDescent="0.15">
      <c r="A198" s="62" t="s">
        <v>615</v>
      </c>
      <c r="B198" s="62" t="s">
        <v>68</v>
      </c>
      <c r="C198" s="64" t="s">
        <v>591</v>
      </c>
      <c r="D198" s="66" t="s">
        <v>592</v>
      </c>
      <c r="E198" s="64" t="s">
        <v>616</v>
      </c>
      <c r="F198" s="67" t="s">
        <v>617</v>
      </c>
      <c r="G198" s="60" t="s">
        <v>332</v>
      </c>
      <c r="H198" s="60" t="b">
        <v>0</v>
      </c>
      <c r="I198" s="60" t="b">
        <v>0</v>
      </c>
      <c r="J198" s="60" t="b">
        <v>0</v>
      </c>
      <c r="K198" s="60" t="b">
        <v>0</v>
      </c>
      <c r="L198" s="60" t="b">
        <v>0</v>
      </c>
      <c r="M198" s="60" t="b">
        <v>0</v>
      </c>
      <c r="N198" s="60" t="b">
        <v>0</v>
      </c>
      <c r="O198" s="60" t="b">
        <v>0</v>
      </c>
      <c r="P198" s="60" t="b">
        <v>0</v>
      </c>
      <c r="Q198" s="60" t="b">
        <v>0</v>
      </c>
      <c r="R198" s="60" t="b">
        <v>0</v>
      </c>
      <c r="S198" s="60" t="b">
        <v>0</v>
      </c>
      <c r="T198" s="60" t="b">
        <v>0</v>
      </c>
      <c r="U198" s="60" t="b">
        <v>0</v>
      </c>
      <c r="V198" s="60" t="b">
        <v>0</v>
      </c>
      <c r="W198" s="60" t="b">
        <v>0</v>
      </c>
    </row>
    <row r="199" spans="1:23" ht="28" x14ac:dyDescent="0.15">
      <c r="A199" s="62" t="s">
        <v>618</v>
      </c>
      <c r="B199" s="62" t="s">
        <v>68</v>
      </c>
      <c r="C199" s="64" t="s">
        <v>591</v>
      </c>
      <c r="D199" s="66" t="s">
        <v>592</v>
      </c>
      <c r="E199" s="64" t="s">
        <v>616</v>
      </c>
      <c r="F199" s="67" t="s">
        <v>619</v>
      </c>
      <c r="G199" s="60" t="s">
        <v>332</v>
      </c>
      <c r="H199" s="60" t="b">
        <v>0</v>
      </c>
      <c r="I199" s="60" t="b">
        <v>0</v>
      </c>
      <c r="J199" s="60" t="b">
        <v>0</v>
      </c>
      <c r="K199" s="60" t="b">
        <v>0</v>
      </c>
      <c r="L199" s="60" t="b">
        <v>0</v>
      </c>
      <c r="M199" s="60" t="b">
        <v>0</v>
      </c>
      <c r="N199" s="60" t="b">
        <v>0</v>
      </c>
      <c r="O199" s="60" t="b">
        <v>0</v>
      </c>
      <c r="P199" s="60" t="b">
        <v>0</v>
      </c>
      <c r="Q199" s="60" t="b">
        <v>0</v>
      </c>
      <c r="R199" s="60" t="b">
        <v>0</v>
      </c>
      <c r="S199" s="60" t="b">
        <v>0</v>
      </c>
      <c r="T199" s="60" t="b">
        <v>0</v>
      </c>
      <c r="U199" s="60" t="b">
        <v>0</v>
      </c>
      <c r="V199" s="60" t="b">
        <v>0</v>
      </c>
      <c r="W199" s="60" t="b">
        <v>0</v>
      </c>
    </row>
    <row r="200" spans="1:23" ht="70" x14ac:dyDescent="0.15">
      <c r="A200" s="62" t="s">
        <v>620</v>
      </c>
      <c r="B200" s="62" t="s">
        <v>68</v>
      </c>
      <c r="C200" s="64" t="s">
        <v>591</v>
      </c>
      <c r="D200" s="66" t="s">
        <v>621</v>
      </c>
      <c r="E200" s="64" t="s">
        <v>622</v>
      </c>
      <c r="F200" s="67" t="s">
        <v>623</v>
      </c>
      <c r="G200" s="60" t="s">
        <v>120</v>
      </c>
      <c r="H200" s="60" t="b">
        <v>0</v>
      </c>
      <c r="I200" s="60" t="b">
        <v>0</v>
      </c>
      <c r="J200" s="60" t="b">
        <v>0</v>
      </c>
      <c r="K200" s="60" t="b">
        <v>0</v>
      </c>
      <c r="L200" s="60" t="b">
        <v>0</v>
      </c>
      <c r="M200" s="60" t="b">
        <v>0</v>
      </c>
      <c r="N200" s="60" t="b">
        <v>0</v>
      </c>
      <c r="O200" s="60" t="b">
        <v>0</v>
      </c>
      <c r="P200" s="60" t="b">
        <v>1</v>
      </c>
      <c r="Q200" s="60" t="b">
        <v>0</v>
      </c>
      <c r="R200" s="60" t="b">
        <v>0</v>
      </c>
      <c r="S200" s="60" t="b">
        <v>0</v>
      </c>
      <c r="T200" s="60" t="b">
        <v>0</v>
      </c>
      <c r="U200" s="60" t="b">
        <v>0</v>
      </c>
      <c r="V200" s="60" t="b">
        <v>0</v>
      </c>
      <c r="W200" s="60" t="b">
        <v>0</v>
      </c>
    </row>
    <row r="201" spans="1:23" ht="28" x14ac:dyDescent="0.15">
      <c r="A201" s="62" t="s">
        <v>624</v>
      </c>
      <c r="B201" s="62" t="s">
        <v>68</v>
      </c>
      <c r="C201" s="64" t="s">
        <v>591</v>
      </c>
      <c r="D201" s="66" t="s">
        <v>621</v>
      </c>
      <c r="E201" s="64" t="s">
        <v>622</v>
      </c>
      <c r="F201" s="67" t="s">
        <v>625</v>
      </c>
      <c r="G201" s="60" t="s">
        <v>120</v>
      </c>
      <c r="H201" s="60" t="b">
        <v>0</v>
      </c>
      <c r="I201" s="60" t="b">
        <v>0</v>
      </c>
      <c r="J201" s="60" t="b">
        <v>0</v>
      </c>
      <c r="K201" s="60" t="b">
        <v>0</v>
      </c>
      <c r="L201" s="60" t="b">
        <v>0</v>
      </c>
      <c r="M201" s="60" t="b">
        <v>0</v>
      </c>
      <c r="N201" s="60" t="b">
        <v>0</v>
      </c>
      <c r="O201" s="60" t="b">
        <v>0</v>
      </c>
      <c r="P201" s="60" t="b">
        <v>1</v>
      </c>
      <c r="Q201" s="60" t="b">
        <v>0</v>
      </c>
      <c r="R201" s="60" t="b">
        <v>0</v>
      </c>
      <c r="S201" s="60" t="b">
        <v>0</v>
      </c>
      <c r="T201" s="60" t="b">
        <v>0</v>
      </c>
      <c r="U201" s="60" t="b">
        <v>0</v>
      </c>
      <c r="V201" s="60" t="b">
        <v>0</v>
      </c>
      <c r="W201" s="60" t="b">
        <v>0</v>
      </c>
    </row>
    <row r="202" spans="1:23" ht="98" x14ac:dyDescent="0.15">
      <c r="A202" s="62" t="s">
        <v>626</v>
      </c>
      <c r="B202" s="62" t="s">
        <v>68</v>
      </c>
      <c r="C202" s="64" t="s">
        <v>591</v>
      </c>
      <c r="D202" s="66" t="s">
        <v>621</v>
      </c>
      <c r="E202" s="64" t="s">
        <v>622</v>
      </c>
      <c r="F202" s="67" t="s">
        <v>627</v>
      </c>
      <c r="G202" s="60"/>
      <c r="H202" s="60" t="b">
        <v>0</v>
      </c>
      <c r="I202" s="60" t="b">
        <v>0</v>
      </c>
      <c r="J202" s="60" t="b">
        <v>0</v>
      </c>
      <c r="K202" s="60" t="b">
        <v>0</v>
      </c>
      <c r="L202" s="60" t="b">
        <v>0</v>
      </c>
      <c r="M202" s="60" t="b">
        <v>0</v>
      </c>
      <c r="N202" s="60" t="b">
        <v>0</v>
      </c>
      <c r="O202" s="60" t="b">
        <v>0</v>
      </c>
      <c r="P202" s="60" t="b">
        <v>0</v>
      </c>
      <c r="Q202" s="60" t="b">
        <v>0</v>
      </c>
      <c r="R202" s="60" t="b">
        <v>0</v>
      </c>
      <c r="S202" s="60" t="b">
        <v>0</v>
      </c>
      <c r="T202" s="60" t="b">
        <v>0</v>
      </c>
      <c r="U202" s="60" t="b">
        <v>0</v>
      </c>
      <c r="V202" s="60" t="b">
        <v>0</v>
      </c>
      <c r="W202" s="60" t="b">
        <v>0</v>
      </c>
    </row>
    <row r="203" spans="1:23" ht="98" x14ac:dyDescent="0.15">
      <c r="A203" s="62" t="s">
        <v>628</v>
      </c>
      <c r="B203" s="62" t="s">
        <v>68</v>
      </c>
      <c r="C203" s="64" t="s">
        <v>591</v>
      </c>
      <c r="D203" s="66" t="s">
        <v>621</v>
      </c>
      <c r="E203" s="64" t="s">
        <v>622</v>
      </c>
      <c r="F203" s="67" t="s">
        <v>629</v>
      </c>
      <c r="G203" s="60" t="s">
        <v>120</v>
      </c>
      <c r="H203" s="60" t="b">
        <v>0</v>
      </c>
      <c r="I203" s="60" t="b">
        <v>0</v>
      </c>
      <c r="J203" s="60" t="b">
        <v>0</v>
      </c>
      <c r="K203" s="60" t="b">
        <v>0</v>
      </c>
      <c r="L203" s="60" t="b">
        <v>0</v>
      </c>
      <c r="M203" s="60" t="b">
        <v>0</v>
      </c>
      <c r="N203" s="60" t="b">
        <v>0</v>
      </c>
      <c r="O203" s="60" t="b">
        <v>0</v>
      </c>
      <c r="P203" s="60" t="b">
        <v>1</v>
      </c>
      <c r="Q203" s="60" t="b">
        <v>0</v>
      </c>
      <c r="R203" s="60" t="b">
        <v>0</v>
      </c>
      <c r="S203" s="60" t="b">
        <v>0</v>
      </c>
      <c r="T203" s="60" t="b">
        <v>0</v>
      </c>
      <c r="U203" s="60" t="b">
        <v>0</v>
      </c>
      <c r="V203" s="60" t="b">
        <v>0</v>
      </c>
      <c r="W203" s="60" t="b">
        <v>0</v>
      </c>
    </row>
    <row r="204" spans="1:23" ht="42" x14ac:dyDescent="0.15">
      <c r="A204" s="62" t="s">
        <v>630</v>
      </c>
      <c r="B204" s="62" t="s">
        <v>68</v>
      </c>
      <c r="C204" s="64" t="s">
        <v>631</v>
      </c>
      <c r="D204" s="66" t="s">
        <v>632</v>
      </c>
      <c r="E204" s="64" t="s">
        <v>633</v>
      </c>
      <c r="F204" s="67" t="s">
        <v>634</v>
      </c>
      <c r="G204" s="60" t="s">
        <v>116</v>
      </c>
      <c r="H204" s="60" t="b">
        <v>0</v>
      </c>
      <c r="I204" s="60" t="b">
        <v>0</v>
      </c>
      <c r="J204" s="60" t="b">
        <v>0</v>
      </c>
      <c r="K204" s="60" t="b">
        <v>0</v>
      </c>
      <c r="L204" s="60" t="b">
        <v>1</v>
      </c>
      <c r="M204" s="60" t="b">
        <v>0</v>
      </c>
      <c r="N204" s="60" t="b">
        <v>0</v>
      </c>
      <c r="O204" s="60" t="b">
        <v>0</v>
      </c>
      <c r="P204" s="60" t="b">
        <v>0</v>
      </c>
      <c r="Q204" s="60" t="b">
        <v>0</v>
      </c>
      <c r="R204" s="60" t="b">
        <v>0</v>
      </c>
      <c r="S204" s="60" t="b">
        <v>0</v>
      </c>
      <c r="T204" s="60" t="b">
        <v>0</v>
      </c>
      <c r="U204" s="60" t="b">
        <v>0</v>
      </c>
      <c r="V204" s="60" t="b">
        <v>0</v>
      </c>
      <c r="W204" s="60" t="b">
        <v>0</v>
      </c>
    </row>
    <row r="205" spans="1:23" ht="140" x14ac:dyDescent="0.15">
      <c r="A205" s="62" t="s">
        <v>635</v>
      </c>
      <c r="B205" s="62" t="s">
        <v>68</v>
      </c>
      <c r="C205" s="64" t="s">
        <v>631</v>
      </c>
      <c r="D205" s="66" t="s">
        <v>632</v>
      </c>
      <c r="E205" s="64" t="s">
        <v>636</v>
      </c>
      <c r="F205" s="67" t="s">
        <v>637</v>
      </c>
      <c r="G205" s="60" t="s">
        <v>116</v>
      </c>
      <c r="H205" s="60" t="b">
        <v>0</v>
      </c>
      <c r="I205" s="60" t="b">
        <v>0</v>
      </c>
      <c r="J205" s="60" t="b">
        <v>0</v>
      </c>
      <c r="K205" s="60" t="b">
        <v>0</v>
      </c>
      <c r="L205" s="60" t="b">
        <v>1</v>
      </c>
      <c r="M205" s="60" t="b">
        <v>0</v>
      </c>
      <c r="N205" s="60" t="b">
        <v>0</v>
      </c>
      <c r="O205" s="60" t="b">
        <v>0</v>
      </c>
      <c r="P205" s="60" t="b">
        <v>0</v>
      </c>
      <c r="Q205" s="60" t="b">
        <v>0</v>
      </c>
      <c r="R205" s="60" t="b">
        <v>0</v>
      </c>
      <c r="S205" s="60" t="b">
        <v>0</v>
      </c>
      <c r="T205" s="60" t="b">
        <v>0</v>
      </c>
      <c r="U205" s="60" t="b">
        <v>0</v>
      </c>
      <c r="V205" s="60" t="b">
        <v>0</v>
      </c>
      <c r="W205" s="60" t="b">
        <v>0</v>
      </c>
    </row>
    <row r="206" spans="1:23" ht="42" x14ac:dyDescent="0.15">
      <c r="A206" s="62" t="s">
        <v>638</v>
      </c>
      <c r="B206" s="62" t="s">
        <v>68</v>
      </c>
      <c r="C206" s="64" t="s">
        <v>631</v>
      </c>
      <c r="D206" s="66" t="s">
        <v>632</v>
      </c>
      <c r="E206" s="64" t="s">
        <v>639</v>
      </c>
      <c r="F206" s="67" t="s">
        <v>640</v>
      </c>
      <c r="G206" s="60" t="s">
        <v>116</v>
      </c>
      <c r="H206" s="60" t="b">
        <v>0</v>
      </c>
      <c r="I206" s="60" t="b">
        <v>0</v>
      </c>
      <c r="J206" s="60" t="b">
        <v>0</v>
      </c>
      <c r="K206" s="60" t="b">
        <v>0</v>
      </c>
      <c r="L206" s="60" t="b">
        <v>1</v>
      </c>
      <c r="M206" s="60" t="b">
        <v>0</v>
      </c>
      <c r="N206" s="60" t="b">
        <v>0</v>
      </c>
      <c r="O206" s="60" t="b">
        <v>0</v>
      </c>
      <c r="P206" s="60" t="b">
        <v>0</v>
      </c>
      <c r="Q206" s="60" t="b">
        <v>0</v>
      </c>
      <c r="R206" s="60" t="b">
        <v>0</v>
      </c>
      <c r="S206" s="60" t="b">
        <v>0</v>
      </c>
      <c r="T206" s="60" t="b">
        <v>0</v>
      </c>
      <c r="U206" s="60" t="b">
        <v>0</v>
      </c>
      <c r="V206" s="60" t="b">
        <v>0</v>
      </c>
      <c r="W206" s="60" t="b">
        <v>0</v>
      </c>
    </row>
    <row r="207" spans="1:23" ht="84" x14ac:dyDescent="0.15">
      <c r="A207" s="62" t="s">
        <v>641</v>
      </c>
      <c r="B207" s="62" t="s">
        <v>68</v>
      </c>
      <c r="C207" s="64" t="s">
        <v>591</v>
      </c>
      <c r="D207" s="66" t="s">
        <v>642</v>
      </c>
      <c r="E207" s="64" t="s">
        <v>82</v>
      </c>
      <c r="F207" s="67" t="s">
        <v>643</v>
      </c>
      <c r="G207" s="60" t="s">
        <v>320</v>
      </c>
      <c r="H207" s="60" t="b">
        <v>0</v>
      </c>
      <c r="I207" s="60" t="b">
        <v>1</v>
      </c>
      <c r="J207" s="60" t="b">
        <v>0</v>
      </c>
      <c r="K207" s="60" t="b">
        <v>0</v>
      </c>
      <c r="L207" s="60" t="b">
        <v>0</v>
      </c>
      <c r="M207" s="60" t="b">
        <v>0</v>
      </c>
      <c r="N207" s="60" t="b">
        <v>0</v>
      </c>
      <c r="O207" s="60" t="b">
        <v>0</v>
      </c>
      <c r="P207" s="60" t="b">
        <v>0</v>
      </c>
      <c r="Q207" s="60" t="b">
        <v>0</v>
      </c>
      <c r="R207" s="60" t="b">
        <v>0</v>
      </c>
      <c r="S207" s="60" t="b">
        <v>1</v>
      </c>
      <c r="T207" s="60" t="b">
        <v>0</v>
      </c>
      <c r="U207" s="60" t="b">
        <v>0</v>
      </c>
      <c r="V207" s="60" t="b">
        <v>0</v>
      </c>
      <c r="W207" s="60" t="b">
        <v>0</v>
      </c>
    </row>
    <row r="208" spans="1:23" ht="28" x14ac:dyDescent="0.15">
      <c r="A208" s="62" t="s">
        <v>644</v>
      </c>
      <c r="B208" s="62" t="s">
        <v>68</v>
      </c>
      <c r="C208" s="64" t="s">
        <v>591</v>
      </c>
      <c r="D208" s="66" t="s">
        <v>642</v>
      </c>
      <c r="E208" s="64" t="s">
        <v>82</v>
      </c>
      <c r="F208" s="67" t="s">
        <v>645</v>
      </c>
      <c r="G208" s="60"/>
      <c r="H208" s="60" t="b">
        <v>0</v>
      </c>
      <c r="I208" s="60" t="b">
        <v>0</v>
      </c>
      <c r="J208" s="60" t="b">
        <v>0</v>
      </c>
      <c r="K208" s="60" t="b">
        <v>0</v>
      </c>
      <c r="L208" s="60" t="b">
        <v>0</v>
      </c>
      <c r="M208" s="60" t="b">
        <v>0</v>
      </c>
      <c r="N208" s="60" t="b">
        <v>0</v>
      </c>
      <c r="O208" s="60" t="b">
        <v>0</v>
      </c>
      <c r="P208" s="60" t="b">
        <v>0</v>
      </c>
      <c r="Q208" s="60" t="b">
        <v>0</v>
      </c>
      <c r="R208" s="60" t="b">
        <v>0</v>
      </c>
      <c r="S208" s="60" t="b">
        <v>0</v>
      </c>
      <c r="T208" s="60" t="b">
        <v>0</v>
      </c>
      <c r="U208" s="60" t="b">
        <v>0</v>
      </c>
      <c r="V208" s="60" t="b">
        <v>0</v>
      </c>
      <c r="W208" s="60" t="b">
        <v>0</v>
      </c>
    </row>
    <row r="209" spans="1:23" ht="28" x14ac:dyDescent="0.15">
      <c r="A209" s="62" t="s">
        <v>646</v>
      </c>
      <c r="B209" s="62" t="s">
        <v>68</v>
      </c>
      <c r="C209" s="64" t="s">
        <v>591</v>
      </c>
      <c r="D209" s="66" t="s">
        <v>647</v>
      </c>
      <c r="E209" s="64" t="s">
        <v>8</v>
      </c>
      <c r="F209" s="67" t="s">
        <v>648</v>
      </c>
      <c r="G209" s="60" t="s">
        <v>8</v>
      </c>
      <c r="H209" s="60" t="b">
        <v>0</v>
      </c>
      <c r="I209" s="60" t="b">
        <v>0</v>
      </c>
      <c r="J209" s="60" t="b">
        <v>0</v>
      </c>
      <c r="K209" s="60" t="b">
        <v>0</v>
      </c>
      <c r="L209" s="60" t="b">
        <v>0</v>
      </c>
      <c r="M209" s="60" t="b">
        <v>0</v>
      </c>
      <c r="N209" s="60" t="b">
        <v>0</v>
      </c>
      <c r="O209" s="60" t="b">
        <v>0</v>
      </c>
      <c r="P209" s="60" t="b">
        <v>0</v>
      </c>
      <c r="Q209" s="60" t="b">
        <v>0</v>
      </c>
      <c r="R209" s="60" t="b">
        <v>0</v>
      </c>
      <c r="S209" s="60" t="b">
        <v>0</v>
      </c>
      <c r="T209" s="60" t="b">
        <v>0</v>
      </c>
      <c r="U209" s="60" t="b">
        <v>0</v>
      </c>
      <c r="V209" s="60" t="b">
        <v>0</v>
      </c>
      <c r="W209" s="60" t="b">
        <v>0</v>
      </c>
    </row>
    <row r="210" spans="1:23" ht="42" x14ac:dyDescent="0.15">
      <c r="A210" s="62" t="s">
        <v>649</v>
      </c>
      <c r="B210" s="62" t="s">
        <v>68</v>
      </c>
      <c r="C210" s="64" t="s">
        <v>591</v>
      </c>
      <c r="D210" s="66" t="s">
        <v>647</v>
      </c>
      <c r="E210" s="64" t="s">
        <v>8</v>
      </c>
      <c r="F210" s="67" t="s">
        <v>650</v>
      </c>
      <c r="G210" s="60" t="s">
        <v>8</v>
      </c>
      <c r="H210" s="60" t="b">
        <v>0</v>
      </c>
      <c r="I210" s="60" t="b">
        <v>0</v>
      </c>
      <c r="J210" s="60" t="b">
        <v>0</v>
      </c>
      <c r="K210" s="60" t="b">
        <v>0</v>
      </c>
      <c r="L210" s="60" t="b">
        <v>0</v>
      </c>
      <c r="M210" s="60" t="b">
        <v>0</v>
      </c>
      <c r="N210" s="60" t="b">
        <v>0</v>
      </c>
      <c r="O210" s="60" t="b">
        <v>0</v>
      </c>
      <c r="P210" s="60" t="b">
        <v>0</v>
      </c>
      <c r="Q210" s="60" t="b">
        <v>0</v>
      </c>
      <c r="R210" s="60" t="b">
        <v>0</v>
      </c>
      <c r="S210" s="60" t="b">
        <v>0</v>
      </c>
      <c r="T210" s="60" t="b">
        <v>0</v>
      </c>
      <c r="U210" s="60" t="b">
        <v>0</v>
      </c>
      <c r="V210" s="60" t="b">
        <v>0</v>
      </c>
      <c r="W210" s="60" t="b">
        <v>0</v>
      </c>
    </row>
    <row r="211" spans="1:23" ht="112" x14ac:dyDescent="0.15">
      <c r="A211" s="62" t="s">
        <v>651</v>
      </c>
      <c r="B211" s="62" t="s">
        <v>68</v>
      </c>
      <c r="C211" s="64" t="s">
        <v>591</v>
      </c>
      <c r="D211" s="66" t="s">
        <v>647</v>
      </c>
      <c r="E211" s="64" t="s">
        <v>8</v>
      </c>
      <c r="F211" s="67" t="s">
        <v>652</v>
      </c>
      <c r="G211" s="60" t="s">
        <v>8</v>
      </c>
      <c r="H211" s="60" t="b">
        <v>0</v>
      </c>
      <c r="I211" s="60" t="b">
        <v>0</v>
      </c>
      <c r="J211" s="60" t="b">
        <v>0</v>
      </c>
      <c r="K211" s="60" t="b">
        <v>0</v>
      </c>
      <c r="L211" s="60" t="b">
        <v>0</v>
      </c>
      <c r="M211" s="60" t="b">
        <v>0</v>
      </c>
      <c r="N211" s="60" t="b">
        <v>0</v>
      </c>
      <c r="O211" s="60" t="b">
        <v>0</v>
      </c>
      <c r="P211" s="60" t="b">
        <v>0</v>
      </c>
      <c r="Q211" s="60" t="b">
        <v>0</v>
      </c>
      <c r="R211" s="60" t="b">
        <v>0</v>
      </c>
      <c r="S211" s="60" t="b">
        <v>0</v>
      </c>
      <c r="T211" s="60" t="b">
        <v>0</v>
      </c>
      <c r="U211" s="60" t="b">
        <v>0</v>
      </c>
      <c r="V211" s="60" t="b">
        <v>0</v>
      </c>
      <c r="W211" s="60" t="b">
        <v>0</v>
      </c>
    </row>
    <row r="212" spans="1:23" ht="28" x14ac:dyDescent="0.15">
      <c r="A212" s="62" t="s">
        <v>653</v>
      </c>
      <c r="B212" s="62" t="s">
        <v>68</v>
      </c>
      <c r="C212" s="64" t="s">
        <v>591</v>
      </c>
      <c r="D212" s="66" t="s">
        <v>647</v>
      </c>
      <c r="E212" s="64" t="s">
        <v>8</v>
      </c>
      <c r="F212" s="67" t="s">
        <v>654</v>
      </c>
      <c r="G212" s="60" t="s">
        <v>8</v>
      </c>
      <c r="H212" s="60" t="b">
        <v>0</v>
      </c>
      <c r="I212" s="60" t="b">
        <v>0</v>
      </c>
      <c r="J212" s="60" t="b">
        <v>0</v>
      </c>
      <c r="K212" s="60" t="b">
        <v>0</v>
      </c>
      <c r="L212" s="60" t="b">
        <v>0</v>
      </c>
      <c r="M212" s="60" t="b">
        <v>0</v>
      </c>
      <c r="N212" s="60" t="b">
        <v>0</v>
      </c>
      <c r="O212" s="60" t="b">
        <v>0</v>
      </c>
      <c r="P212" s="60" t="b">
        <v>0</v>
      </c>
      <c r="Q212" s="60" t="b">
        <v>0</v>
      </c>
      <c r="R212" s="60" t="b">
        <v>0</v>
      </c>
      <c r="S212" s="60" t="b">
        <v>0</v>
      </c>
      <c r="T212" s="60" t="b">
        <v>0</v>
      </c>
      <c r="U212" s="60" t="b">
        <v>0</v>
      </c>
      <c r="V212" s="60" t="b">
        <v>0</v>
      </c>
      <c r="W212" s="60" t="b">
        <v>0</v>
      </c>
    </row>
    <row r="213" spans="1:23" ht="28" x14ac:dyDescent="0.15">
      <c r="A213" s="62" t="s">
        <v>655</v>
      </c>
      <c r="B213" s="62" t="s">
        <v>68</v>
      </c>
      <c r="C213" s="64" t="s">
        <v>591</v>
      </c>
      <c r="D213" s="66" t="s">
        <v>647</v>
      </c>
      <c r="E213" s="64" t="s">
        <v>8</v>
      </c>
      <c r="F213" s="67" t="s">
        <v>656</v>
      </c>
      <c r="G213" s="60"/>
      <c r="H213" s="60" t="b">
        <v>0</v>
      </c>
      <c r="I213" s="60" t="b">
        <v>0</v>
      </c>
      <c r="J213" s="60" t="b">
        <v>0</v>
      </c>
      <c r="K213" s="60" t="b">
        <v>0</v>
      </c>
      <c r="L213" s="60" t="b">
        <v>0</v>
      </c>
      <c r="M213" s="60" t="b">
        <v>0</v>
      </c>
      <c r="N213" s="60" t="b">
        <v>0</v>
      </c>
      <c r="O213" s="60" t="b">
        <v>0</v>
      </c>
      <c r="P213" s="60" t="b">
        <v>0</v>
      </c>
      <c r="Q213" s="60" t="b">
        <v>0</v>
      </c>
      <c r="R213" s="60" t="b">
        <v>0</v>
      </c>
      <c r="S213" s="60" t="b">
        <v>0</v>
      </c>
      <c r="T213" s="60" t="b">
        <v>0</v>
      </c>
      <c r="U213" s="60" t="b">
        <v>0</v>
      </c>
      <c r="V213" s="60" t="b">
        <v>0</v>
      </c>
      <c r="W213" s="60" t="b">
        <v>0</v>
      </c>
    </row>
    <row r="214" spans="1:23" ht="140" x14ac:dyDescent="0.15">
      <c r="A214" s="62" t="s">
        <v>657</v>
      </c>
      <c r="B214" s="62" t="s">
        <v>68</v>
      </c>
      <c r="C214" s="64" t="s">
        <v>591</v>
      </c>
      <c r="D214" s="66" t="s">
        <v>647</v>
      </c>
      <c r="E214" s="64" t="s">
        <v>8</v>
      </c>
      <c r="F214" s="67" t="s">
        <v>658</v>
      </c>
      <c r="G214" s="60" t="s">
        <v>8</v>
      </c>
      <c r="H214" s="60" t="b">
        <v>0</v>
      </c>
      <c r="I214" s="60" t="b">
        <v>0</v>
      </c>
      <c r="J214" s="60" t="b">
        <v>0</v>
      </c>
      <c r="K214" s="60" t="b">
        <v>0</v>
      </c>
      <c r="L214" s="60" t="b">
        <v>0</v>
      </c>
      <c r="M214" s="60" t="b">
        <v>0</v>
      </c>
      <c r="N214" s="60" t="b">
        <v>0</v>
      </c>
      <c r="O214" s="60" t="b">
        <v>0</v>
      </c>
      <c r="P214" s="60" t="b">
        <v>0</v>
      </c>
      <c r="Q214" s="60" t="b">
        <v>0</v>
      </c>
      <c r="R214" s="60" t="b">
        <v>0</v>
      </c>
      <c r="S214" s="60" t="b">
        <v>0</v>
      </c>
      <c r="T214" s="60" t="b">
        <v>0</v>
      </c>
      <c r="U214" s="60" t="b">
        <v>0</v>
      </c>
      <c r="V214" s="60" t="b">
        <v>0</v>
      </c>
      <c r="W214" s="60" t="b">
        <v>0</v>
      </c>
    </row>
    <row r="215" spans="1:23" ht="28" x14ac:dyDescent="0.15">
      <c r="A215" s="62" t="s">
        <v>659</v>
      </c>
      <c r="B215" s="62" t="s">
        <v>68</v>
      </c>
      <c r="C215" s="64" t="s">
        <v>591</v>
      </c>
      <c r="D215" s="66" t="s">
        <v>647</v>
      </c>
      <c r="E215" s="64" t="s">
        <v>8</v>
      </c>
      <c r="F215" s="67" t="s">
        <v>660</v>
      </c>
      <c r="G215" s="60" t="s">
        <v>8</v>
      </c>
      <c r="H215" s="60" t="b">
        <v>0</v>
      </c>
      <c r="I215" s="60" t="b">
        <v>0</v>
      </c>
      <c r="J215" s="60" t="b">
        <v>0</v>
      </c>
      <c r="K215" s="60" t="b">
        <v>0</v>
      </c>
      <c r="L215" s="60" t="b">
        <v>0</v>
      </c>
      <c r="M215" s="60" t="b">
        <v>0</v>
      </c>
      <c r="N215" s="60" t="b">
        <v>0</v>
      </c>
      <c r="O215" s="60" t="b">
        <v>0</v>
      </c>
      <c r="P215" s="60" t="b">
        <v>0</v>
      </c>
      <c r="Q215" s="60" t="b">
        <v>0</v>
      </c>
      <c r="R215" s="60" t="b">
        <v>0</v>
      </c>
      <c r="S215" s="60" t="b">
        <v>0</v>
      </c>
      <c r="T215" s="60" t="b">
        <v>0</v>
      </c>
      <c r="U215" s="60" t="b">
        <v>0</v>
      </c>
      <c r="V215" s="60" t="b">
        <v>0</v>
      </c>
      <c r="W215" s="60" t="b">
        <v>0</v>
      </c>
    </row>
    <row r="216" spans="1:23" ht="28" x14ac:dyDescent="0.15">
      <c r="A216" s="62" t="s">
        <v>661</v>
      </c>
      <c r="B216" s="62" t="s">
        <v>68</v>
      </c>
      <c r="C216" s="64" t="s">
        <v>591</v>
      </c>
      <c r="D216" s="66" t="s">
        <v>647</v>
      </c>
      <c r="E216" s="64" t="s">
        <v>8</v>
      </c>
      <c r="F216" s="67" t="s">
        <v>662</v>
      </c>
      <c r="G216" s="60" t="s">
        <v>8</v>
      </c>
      <c r="H216" s="60" t="b">
        <v>0</v>
      </c>
      <c r="I216" s="60" t="b">
        <v>0</v>
      </c>
      <c r="J216" s="60" t="b">
        <v>0</v>
      </c>
      <c r="K216" s="60" t="b">
        <v>0</v>
      </c>
      <c r="L216" s="60" t="b">
        <v>0</v>
      </c>
      <c r="M216" s="60" t="b">
        <v>0</v>
      </c>
      <c r="N216" s="60" t="b">
        <v>0</v>
      </c>
      <c r="O216" s="60" t="b">
        <v>0</v>
      </c>
      <c r="P216" s="60" t="b">
        <v>0</v>
      </c>
      <c r="Q216" s="60" t="b">
        <v>0</v>
      </c>
      <c r="R216" s="60" t="b">
        <v>0</v>
      </c>
      <c r="S216" s="60" t="b">
        <v>0</v>
      </c>
      <c r="T216" s="60" t="b">
        <v>0</v>
      </c>
      <c r="U216" s="60" t="b">
        <v>0</v>
      </c>
      <c r="V216" s="60" t="b">
        <v>0</v>
      </c>
      <c r="W216" s="60" t="b">
        <v>0</v>
      </c>
    </row>
    <row r="217" spans="1:23" ht="28" x14ac:dyDescent="0.15">
      <c r="A217" s="62" t="s">
        <v>663</v>
      </c>
      <c r="B217" s="62" t="s">
        <v>68</v>
      </c>
      <c r="C217" s="64" t="s">
        <v>591</v>
      </c>
      <c r="D217" s="66" t="s">
        <v>647</v>
      </c>
      <c r="E217" s="64" t="s">
        <v>664</v>
      </c>
      <c r="F217" s="67" t="s">
        <v>665</v>
      </c>
      <c r="G217" s="60" t="s">
        <v>8</v>
      </c>
      <c r="H217" s="60" t="b">
        <v>0</v>
      </c>
      <c r="I217" s="60" t="b">
        <v>0</v>
      </c>
      <c r="J217" s="60" t="b">
        <v>0</v>
      </c>
      <c r="K217" s="60" t="b">
        <v>0</v>
      </c>
      <c r="L217" s="60" t="b">
        <v>0</v>
      </c>
      <c r="M217" s="60" t="b">
        <v>0</v>
      </c>
      <c r="N217" s="60" t="b">
        <v>0</v>
      </c>
      <c r="O217" s="60" t="b">
        <v>0</v>
      </c>
      <c r="P217" s="60" t="b">
        <v>0</v>
      </c>
      <c r="Q217" s="60" t="b">
        <v>0</v>
      </c>
      <c r="R217" s="60" t="b">
        <v>0</v>
      </c>
      <c r="S217" s="60" t="b">
        <v>0</v>
      </c>
      <c r="T217" s="60" t="b">
        <v>0</v>
      </c>
      <c r="U217" s="60" t="b">
        <v>0</v>
      </c>
      <c r="V217" s="60" t="b">
        <v>0</v>
      </c>
      <c r="W217" s="60" t="b">
        <v>0</v>
      </c>
    </row>
    <row r="218" spans="1:23" ht="28" x14ac:dyDescent="0.15">
      <c r="A218" s="62" t="s">
        <v>666</v>
      </c>
      <c r="B218" s="62" t="s">
        <v>68</v>
      </c>
      <c r="C218" s="64" t="s">
        <v>591</v>
      </c>
      <c r="D218" s="66" t="s">
        <v>647</v>
      </c>
      <c r="E218" s="64" t="s">
        <v>664</v>
      </c>
      <c r="F218" s="67" t="s">
        <v>667</v>
      </c>
      <c r="G218" s="60" t="s">
        <v>8</v>
      </c>
      <c r="H218" s="60" t="b">
        <v>0</v>
      </c>
      <c r="I218" s="60" t="b">
        <v>0</v>
      </c>
      <c r="J218" s="60" t="b">
        <v>0</v>
      </c>
      <c r="K218" s="60" t="b">
        <v>0</v>
      </c>
      <c r="L218" s="60" t="b">
        <v>0</v>
      </c>
      <c r="M218" s="60" t="b">
        <v>0</v>
      </c>
      <c r="N218" s="60" t="b">
        <v>0</v>
      </c>
      <c r="O218" s="60" t="b">
        <v>0</v>
      </c>
      <c r="P218" s="60" t="b">
        <v>0</v>
      </c>
      <c r="Q218" s="60" t="b">
        <v>0</v>
      </c>
      <c r="R218" s="60" t="b">
        <v>0</v>
      </c>
      <c r="S218" s="60" t="b">
        <v>0</v>
      </c>
      <c r="T218" s="60" t="b">
        <v>0</v>
      </c>
      <c r="U218" s="60" t="b">
        <v>0</v>
      </c>
      <c r="V218" s="60" t="b">
        <v>0</v>
      </c>
      <c r="W218" s="60" t="b">
        <v>0</v>
      </c>
    </row>
    <row r="219" spans="1:23" ht="126" x14ac:dyDescent="0.15">
      <c r="A219" s="62" t="s">
        <v>668</v>
      </c>
      <c r="B219" s="62" t="s">
        <v>68</v>
      </c>
      <c r="C219" s="64" t="s">
        <v>591</v>
      </c>
      <c r="D219" s="66" t="s">
        <v>647</v>
      </c>
      <c r="E219" s="64" t="s">
        <v>528</v>
      </c>
      <c r="F219" s="67" t="s">
        <v>669</v>
      </c>
      <c r="G219" s="60" t="s">
        <v>393</v>
      </c>
      <c r="H219" s="60" t="b">
        <v>0</v>
      </c>
      <c r="I219" s="60" t="b">
        <v>0</v>
      </c>
      <c r="J219" s="60" t="b">
        <v>0</v>
      </c>
      <c r="K219" s="60" t="b">
        <v>0</v>
      </c>
      <c r="L219" s="60" t="b">
        <v>0</v>
      </c>
      <c r="M219" s="60" t="b">
        <v>0</v>
      </c>
      <c r="N219" s="60" t="b">
        <v>0</v>
      </c>
      <c r="O219" s="60" t="b">
        <v>0</v>
      </c>
      <c r="P219" s="60" t="b">
        <v>0</v>
      </c>
      <c r="Q219" s="60" t="b">
        <v>0</v>
      </c>
      <c r="R219" s="60" t="b">
        <v>0</v>
      </c>
      <c r="S219" s="60" t="b">
        <v>0</v>
      </c>
      <c r="T219" s="60" t="b">
        <v>0</v>
      </c>
      <c r="U219" s="60" t="b">
        <v>0</v>
      </c>
      <c r="V219" s="60" t="b">
        <v>0</v>
      </c>
      <c r="W219" s="60" t="b">
        <v>0</v>
      </c>
    </row>
    <row r="220" spans="1:23" ht="154" x14ac:dyDescent="0.15">
      <c r="A220" s="62" t="s">
        <v>670</v>
      </c>
      <c r="B220" s="62" t="s">
        <v>68</v>
      </c>
      <c r="C220" s="64" t="s">
        <v>591</v>
      </c>
      <c r="D220" s="66" t="s">
        <v>647</v>
      </c>
      <c r="E220" s="64" t="s">
        <v>528</v>
      </c>
      <c r="F220" s="67" t="s">
        <v>671</v>
      </c>
      <c r="G220" s="60" t="s">
        <v>381</v>
      </c>
      <c r="H220" s="60" t="b">
        <v>0</v>
      </c>
      <c r="I220" s="60" t="b">
        <v>0</v>
      </c>
      <c r="J220" s="60" t="b">
        <v>0</v>
      </c>
      <c r="K220" s="60" t="b">
        <v>0</v>
      </c>
      <c r="L220" s="60" t="b">
        <v>0</v>
      </c>
      <c r="M220" s="60" t="b">
        <v>0</v>
      </c>
      <c r="N220" s="60" t="b">
        <v>0</v>
      </c>
      <c r="O220" s="60" t="b">
        <v>0</v>
      </c>
      <c r="P220" s="60" t="b">
        <v>0</v>
      </c>
      <c r="Q220" s="60" t="b">
        <v>0</v>
      </c>
      <c r="R220" s="60" t="b">
        <v>0</v>
      </c>
      <c r="S220" s="60" t="b">
        <v>0</v>
      </c>
      <c r="T220" s="60" t="b">
        <v>0</v>
      </c>
      <c r="U220" s="60" t="b">
        <v>0</v>
      </c>
      <c r="V220" s="60" t="b">
        <v>0</v>
      </c>
      <c r="W220" s="60" t="b">
        <v>0</v>
      </c>
    </row>
    <row r="221" spans="1:23" ht="84" x14ac:dyDescent="0.15">
      <c r="A221" s="62" t="s">
        <v>672</v>
      </c>
      <c r="B221" s="62" t="s">
        <v>68</v>
      </c>
      <c r="C221" s="64" t="s">
        <v>591</v>
      </c>
      <c r="D221" s="66" t="s">
        <v>673</v>
      </c>
      <c r="E221" s="64" t="s">
        <v>167</v>
      </c>
      <c r="F221" s="67" t="s">
        <v>674</v>
      </c>
      <c r="G221" s="60" t="s">
        <v>120</v>
      </c>
      <c r="H221" s="60" t="b">
        <v>0</v>
      </c>
      <c r="I221" s="60" t="b">
        <v>0</v>
      </c>
      <c r="J221" s="60" t="b">
        <v>0</v>
      </c>
      <c r="K221" s="60" t="b">
        <v>0</v>
      </c>
      <c r="L221" s="60" t="b">
        <v>0</v>
      </c>
      <c r="M221" s="60" t="b">
        <v>0</v>
      </c>
      <c r="N221" s="60" t="b">
        <v>0</v>
      </c>
      <c r="O221" s="60" t="b">
        <v>0</v>
      </c>
      <c r="P221" s="60" t="b">
        <v>1</v>
      </c>
      <c r="Q221" s="60" t="b">
        <v>0</v>
      </c>
      <c r="R221" s="60" t="b">
        <v>0</v>
      </c>
      <c r="S221" s="60" t="b">
        <v>0</v>
      </c>
      <c r="T221" s="60" t="b">
        <v>0</v>
      </c>
      <c r="U221" s="60" t="b">
        <v>0</v>
      </c>
      <c r="V221" s="60" t="b">
        <v>0</v>
      </c>
      <c r="W221" s="60" t="b">
        <v>0</v>
      </c>
    </row>
    <row r="222" spans="1:23" ht="28" x14ac:dyDescent="0.15">
      <c r="A222" s="62" t="s">
        <v>675</v>
      </c>
      <c r="B222" s="62" t="s">
        <v>68</v>
      </c>
      <c r="C222" s="64" t="s">
        <v>591</v>
      </c>
      <c r="D222" s="66" t="s">
        <v>673</v>
      </c>
      <c r="E222" s="64" t="s">
        <v>676</v>
      </c>
      <c r="F222" s="67" t="s">
        <v>677</v>
      </c>
      <c r="G222" s="60" t="s">
        <v>114</v>
      </c>
      <c r="H222" s="60" t="b">
        <v>0</v>
      </c>
      <c r="I222" s="60" t="b">
        <v>0</v>
      </c>
      <c r="J222" s="60" t="b">
        <v>1</v>
      </c>
      <c r="K222" s="60" t="b">
        <v>0</v>
      </c>
      <c r="L222" s="60" t="b">
        <v>0</v>
      </c>
      <c r="M222" s="60" t="b">
        <v>0</v>
      </c>
      <c r="N222" s="60" t="b">
        <v>0</v>
      </c>
      <c r="O222" s="60" t="b">
        <v>0</v>
      </c>
      <c r="P222" s="60" t="b">
        <v>0</v>
      </c>
      <c r="Q222" s="60" t="b">
        <v>0</v>
      </c>
      <c r="R222" s="60" t="b">
        <v>0</v>
      </c>
      <c r="S222" s="60" t="b">
        <v>0</v>
      </c>
      <c r="T222" s="60" t="b">
        <v>0</v>
      </c>
      <c r="U222" s="60" t="b">
        <v>0</v>
      </c>
      <c r="V222" s="60" t="b">
        <v>0</v>
      </c>
      <c r="W222" s="60" t="b">
        <v>0</v>
      </c>
    </row>
    <row r="223" spans="1:23" ht="56" x14ac:dyDescent="0.15">
      <c r="A223" s="62" t="s">
        <v>678</v>
      </c>
      <c r="B223" s="62" t="s">
        <v>68</v>
      </c>
      <c r="C223" s="64" t="s">
        <v>591</v>
      </c>
      <c r="D223" s="66" t="s">
        <v>673</v>
      </c>
      <c r="E223" s="64" t="s">
        <v>676</v>
      </c>
      <c r="F223" s="67" t="s">
        <v>679</v>
      </c>
      <c r="G223" s="60" t="s">
        <v>114</v>
      </c>
      <c r="H223" s="60" t="b">
        <v>0</v>
      </c>
      <c r="I223" s="60" t="b">
        <v>0</v>
      </c>
      <c r="J223" s="60" t="b">
        <v>1</v>
      </c>
      <c r="K223" s="60" t="b">
        <v>0</v>
      </c>
      <c r="L223" s="60" t="b">
        <v>0</v>
      </c>
      <c r="M223" s="60" t="b">
        <v>0</v>
      </c>
      <c r="N223" s="60" t="b">
        <v>0</v>
      </c>
      <c r="O223" s="60" t="b">
        <v>0</v>
      </c>
      <c r="P223" s="60" t="b">
        <v>0</v>
      </c>
      <c r="Q223" s="60" t="b">
        <v>0</v>
      </c>
      <c r="R223" s="60" t="b">
        <v>0</v>
      </c>
      <c r="S223" s="60" t="b">
        <v>0</v>
      </c>
      <c r="T223" s="60" t="b">
        <v>0</v>
      </c>
      <c r="U223" s="60" t="b">
        <v>0</v>
      </c>
      <c r="V223" s="60" t="b">
        <v>0</v>
      </c>
      <c r="W223" s="60" t="b">
        <v>0</v>
      </c>
    </row>
    <row r="224" spans="1:23" ht="28" x14ac:dyDescent="0.15">
      <c r="A224" s="62" t="s">
        <v>680</v>
      </c>
      <c r="B224" s="62" t="s">
        <v>68</v>
      </c>
      <c r="C224" s="64" t="s">
        <v>591</v>
      </c>
      <c r="D224" s="66" t="s">
        <v>673</v>
      </c>
      <c r="E224" s="64" t="s">
        <v>676</v>
      </c>
      <c r="F224" s="67" t="s">
        <v>681</v>
      </c>
      <c r="G224" s="60" t="s">
        <v>114</v>
      </c>
      <c r="H224" s="60" t="b">
        <v>0</v>
      </c>
      <c r="I224" s="60" t="b">
        <v>0</v>
      </c>
      <c r="J224" s="60" t="b">
        <v>1</v>
      </c>
      <c r="K224" s="60" t="b">
        <v>0</v>
      </c>
      <c r="L224" s="60" t="b">
        <v>0</v>
      </c>
      <c r="M224" s="60" t="b">
        <v>0</v>
      </c>
      <c r="N224" s="60" t="b">
        <v>0</v>
      </c>
      <c r="O224" s="60" t="b">
        <v>0</v>
      </c>
      <c r="P224" s="60" t="b">
        <v>0</v>
      </c>
      <c r="Q224" s="60" t="b">
        <v>0</v>
      </c>
      <c r="R224" s="60" t="b">
        <v>0</v>
      </c>
      <c r="S224" s="60" t="b">
        <v>0</v>
      </c>
      <c r="T224" s="60" t="b">
        <v>0</v>
      </c>
      <c r="U224" s="60" t="b">
        <v>0</v>
      </c>
      <c r="V224" s="60" t="b">
        <v>0</v>
      </c>
      <c r="W224" s="60" t="b">
        <v>0</v>
      </c>
    </row>
    <row r="225" spans="1:23" ht="28" x14ac:dyDescent="0.15">
      <c r="A225" s="62" t="s">
        <v>682</v>
      </c>
      <c r="B225" s="62" t="s">
        <v>68</v>
      </c>
      <c r="C225" s="64" t="s">
        <v>591</v>
      </c>
      <c r="D225" s="66" t="s">
        <v>673</v>
      </c>
      <c r="E225" s="64" t="s">
        <v>676</v>
      </c>
      <c r="F225" s="67" t="s">
        <v>683</v>
      </c>
      <c r="G225" s="60" t="s">
        <v>114</v>
      </c>
      <c r="H225" s="60" t="b">
        <v>0</v>
      </c>
      <c r="I225" s="60" t="b">
        <v>0</v>
      </c>
      <c r="J225" s="60" t="b">
        <v>1</v>
      </c>
      <c r="K225" s="60" t="b">
        <v>0</v>
      </c>
      <c r="L225" s="60" t="b">
        <v>0</v>
      </c>
      <c r="M225" s="60" t="b">
        <v>0</v>
      </c>
      <c r="N225" s="60" t="b">
        <v>0</v>
      </c>
      <c r="O225" s="60" t="b">
        <v>0</v>
      </c>
      <c r="P225" s="60" t="b">
        <v>0</v>
      </c>
      <c r="Q225" s="60" t="b">
        <v>0</v>
      </c>
      <c r="R225" s="60" t="b">
        <v>0</v>
      </c>
      <c r="S225" s="60" t="b">
        <v>0</v>
      </c>
      <c r="T225" s="60" t="b">
        <v>0</v>
      </c>
      <c r="U225" s="60" t="b">
        <v>0</v>
      </c>
      <c r="V225" s="60" t="b">
        <v>0</v>
      </c>
      <c r="W225" s="60" t="b">
        <v>0</v>
      </c>
    </row>
    <row r="226" spans="1:23" ht="28" x14ac:dyDescent="0.15">
      <c r="A226" s="62" t="s">
        <v>684</v>
      </c>
      <c r="B226" s="62" t="s">
        <v>68</v>
      </c>
      <c r="C226" s="64" t="s">
        <v>591</v>
      </c>
      <c r="D226" s="66" t="s">
        <v>673</v>
      </c>
      <c r="E226" s="64" t="s">
        <v>676</v>
      </c>
      <c r="F226" s="67" t="s">
        <v>685</v>
      </c>
      <c r="G226" s="60" t="s">
        <v>114</v>
      </c>
      <c r="H226" s="60" t="b">
        <v>0</v>
      </c>
      <c r="I226" s="60" t="b">
        <v>0</v>
      </c>
      <c r="J226" s="60" t="b">
        <v>1</v>
      </c>
      <c r="K226" s="60" t="b">
        <v>0</v>
      </c>
      <c r="L226" s="60" t="b">
        <v>0</v>
      </c>
      <c r="M226" s="60" t="b">
        <v>0</v>
      </c>
      <c r="N226" s="60" t="b">
        <v>0</v>
      </c>
      <c r="O226" s="60" t="b">
        <v>0</v>
      </c>
      <c r="P226" s="60" t="b">
        <v>0</v>
      </c>
      <c r="Q226" s="60" t="b">
        <v>0</v>
      </c>
      <c r="R226" s="60" t="b">
        <v>0</v>
      </c>
      <c r="S226" s="60" t="b">
        <v>0</v>
      </c>
      <c r="T226" s="60" t="b">
        <v>0</v>
      </c>
      <c r="U226" s="60" t="b">
        <v>0</v>
      </c>
      <c r="V226" s="60" t="b">
        <v>0</v>
      </c>
      <c r="W226" s="60" t="b">
        <v>0</v>
      </c>
    </row>
    <row r="227" spans="1:23" ht="28" x14ac:dyDescent="0.15">
      <c r="A227" s="62" t="s">
        <v>686</v>
      </c>
      <c r="B227" s="62" t="s">
        <v>68</v>
      </c>
      <c r="C227" s="64" t="s">
        <v>591</v>
      </c>
      <c r="D227" s="66" t="s">
        <v>673</v>
      </c>
      <c r="E227" s="64" t="s">
        <v>687</v>
      </c>
      <c r="F227" s="67" t="s">
        <v>688</v>
      </c>
      <c r="G227" s="60" t="s">
        <v>114</v>
      </c>
      <c r="H227" s="60" t="b">
        <v>0</v>
      </c>
      <c r="I227" s="60" t="b">
        <v>0</v>
      </c>
      <c r="J227" s="60" t="b">
        <v>1</v>
      </c>
      <c r="K227" s="60" t="b">
        <v>0</v>
      </c>
      <c r="L227" s="60" t="b">
        <v>0</v>
      </c>
      <c r="M227" s="60" t="b">
        <v>0</v>
      </c>
      <c r="N227" s="60" t="b">
        <v>0</v>
      </c>
      <c r="O227" s="60" t="b">
        <v>0</v>
      </c>
      <c r="P227" s="60" t="b">
        <v>0</v>
      </c>
      <c r="Q227" s="60" t="b">
        <v>0</v>
      </c>
      <c r="R227" s="60" t="b">
        <v>0</v>
      </c>
      <c r="S227" s="60" t="b">
        <v>0</v>
      </c>
      <c r="T227" s="60" t="b">
        <v>0</v>
      </c>
      <c r="U227" s="60" t="b">
        <v>0</v>
      </c>
      <c r="V227" s="60" t="b">
        <v>0</v>
      </c>
      <c r="W227" s="60" t="b">
        <v>0</v>
      </c>
    </row>
    <row r="228" spans="1:23" ht="56" x14ac:dyDescent="0.15">
      <c r="A228" s="62" t="s">
        <v>689</v>
      </c>
      <c r="B228" s="62" t="s">
        <v>68</v>
      </c>
      <c r="C228" s="64" t="s">
        <v>591</v>
      </c>
      <c r="D228" s="66" t="s">
        <v>673</v>
      </c>
      <c r="E228" s="64" t="s">
        <v>687</v>
      </c>
      <c r="F228" s="67" t="s">
        <v>690</v>
      </c>
      <c r="G228" s="60" t="s">
        <v>114</v>
      </c>
      <c r="H228" s="60" t="b">
        <v>0</v>
      </c>
      <c r="I228" s="60" t="b">
        <v>0</v>
      </c>
      <c r="J228" s="60" t="b">
        <v>1</v>
      </c>
      <c r="K228" s="60" t="b">
        <v>0</v>
      </c>
      <c r="L228" s="60" t="b">
        <v>0</v>
      </c>
      <c r="M228" s="60" t="b">
        <v>0</v>
      </c>
      <c r="N228" s="60" t="b">
        <v>0</v>
      </c>
      <c r="O228" s="60" t="b">
        <v>0</v>
      </c>
      <c r="P228" s="60" t="b">
        <v>0</v>
      </c>
      <c r="Q228" s="60" t="b">
        <v>0</v>
      </c>
      <c r="R228" s="60" t="b">
        <v>0</v>
      </c>
      <c r="S228" s="60" t="b">
        <v>0</v>
      </c>
      <c r="T228" s="60" t="b">
        <v>0</v>
      </c>
      <c r="U228" s="60" t="b">
        <v>0</v>
      </c>
      <c r="V228" s="60" t="b">
        <v>0</v>
      </c>
      <c r="W228" s="60" t="b">
        <v>0</v>
      </c>
    </row>
    <row r="229" spans="1:23" ht="28" x14ac:dyDescent="0.15">
      <c r="A229" s="62" t="s">
        <v>691</v>
      </c>
      <c r="B229" s="62" t="s">
        <v>68</v>
      </c>
      <c r="C229" s="64" t="s">
        <v>591</v>
      </c>
      <c r="D229" s="66" t="s">
        <v>673</v>
      </c>
      <c r="E229" s="64" t="s">
        <v>692</v>
      </c>
      <c r="F229" s="67" t="s">
        <v>693</v>
      </c>
      <c r="G229" s="60" t="s">
        <v>114</v>
      </c>
      <c r="H229" s="60" t="b">
        <v>0</v>
      </c>
      <c r="I229" s="60" t="b">
        <v>0</v>
      </c>
      <c r="J229" s="60" t="b">
        <v>1</v>
      </c>
      <c r="K229" s="60" t="b">
        <v>0</v>
      </c>
      <c r="L229" s="60" t="b">
        <v>0</v>
      </c>
      <c r="M229" s="60" t="b">
        <v>0</v>
      </c>
      <c r="N229" s="60" t="b">
        <v>0</v>
      </c>
      <c r="O229" s="60" t="b">
        <v>0</v>
      </c>
      <c r="P229" s="60" t="b">
        <v>0</v>
      </c>
      <c r="Q229" s="60" t="b">
        <v>0</v>
      </c>
      <c r="R229" s="60" t="b">
        <v>0</v>
      </c>
      <c r="S229" s="60" t="b">
        <v>0</v>
      </c>
      <c r="T229" s="60" t="b">
        <v>0</v>
      </c>
      <c r="U229" s="60" t="b">
        <v>0</v>
      </c>
      <c r="V229" s="60" t="b">
        <v>0</v>
      </c>
      <c r="W229" s="60" t="b">
        <v>0</v>
      </c>
    </row>
    <row r="230" spans="1:23" ht="28" x14ac:dyDescent="0.15">
      <c r="A230" s="62" t="s">
        <v>694</v>
      </c>
      <c r="B230" s="62" t="s">
        <v>68</v>
      </c>
      <c r="C230" s="64" t="s">
        <v>591</v>
      </c>
      <c r="D230" s="66" t="s">
        <v>673</v>
      </c>
      <c r="E230" s="64" t="s">
        <v>692</v>
      </c>
      <c r="F230" s="67" t="s">
        <v>695</v>
      </c>
      <c r="G230" s="60" t="s">
        <v>114</v>
      </c>
      <c r="H230" s="60" t="b">
        <v>0</v>
      </c>
      <c r="I230" s="60" t="b">
        <v>0</v>
      </c>
      <c r="J230" s="60" t="b">
        <v>1</v>
      </c>
      <c r="K230" s="60" t="b">
        <v>0</v>
      </c>
      <c r="L230" s="60" t="b">
        <v>0</v>
      </c>
      <c r="M230" s="60" t="b">
        <v>0</v>
      </c>
      <c r="N230" s="60" t="b">
        <v>0</v>
      </c>
      <c r="O230" s="60" t="b">
        <v>0</v>
      </c>
      <c r="P230" s="60" t="b">
        <v>0</v>
      </c>
      <c r="Q230" s="60" t="b">
        <v>0</v>
      </c>
      <c r="R230" s="60" t="b">
        <v>0</v>
      </c>
      <c r="S230" s="60" t="b">
        <v>0</v>
      </c>
      <c r="T230" s="60" t="b">
        <v>0</v>
      </c>
      <c r="U230" s="60" t="b">
        <v>0</v>
      </c>
      <c r="V230" s="60" t="b">
        <v>0</v>
      </c>
      <c r="W230" s="60" t="b">
        <v>0</v>
      </c>
    </row>
    <row r="231" spans="1:23" ht="42" x14ac:dyDescent="0.15">
      <c r="A231" s="62" t="s">
        <v>696</v>
      </c>
      <c r="B231" s="62" t="s">
        <v>68</v>
      </c>
      <c r="C231" s="64" t="s">
        <v>591</v>
      </c>
      <c r="D231" s="66" t="s">
        <v>673</v>
      </c>
      <c r="E231" s="64" t="s">
        <v>692</v>
      </c>
      <c r="F231" s="67" t="s">
        <v>697</v>
      </c>
      <c r="G231" s="60" t="s">
        <v>114</v>
      </c>
      <c r="H231" s="60" t="b">
        <v>0</v>
      </c>
      <c r="I231" s="60" t="b">
        <v>0</v>
      </c>
      <c r="J231" s="60" t="b">
        <v>1</v>
      </c>
      <c r="K231" s="60" t="b">
        <v>0</v>
      </c>
      <c r="L231" s="60" t="b">
        <v>0</v>
      </c>
      <c r="M231" s="60" t="b">
        <v>0</v>
      </c>
      <c r="N231" s="60" t="b">
        <v>0</v>
      </c>
      <c r="O231" s="60" t="b">
        <v>0</v>
      </c>
      <c r="P231" s="60" t="b">
        <v>0</v>
      </c>
      <c r="Q231" s="60" t="b">
        <v>0</v>
      </c>
      <c r="R231" s="60" t="b">
        <v>0</v>
      </c>
      <c r="S231" s="60" t="b">
        <v>0</v>
      </c>
      <c r="T231" s="60" t="b">
        <v>0</v>
      </c>
      <c r="U231" s="60" t="b">
        <v>0</v>
      </c>
      <c r="V231" s="60" t="b">
        <v>0</v>
      </c>
      <c r="W231" s="60" t="b">
        <v>0</v>
      </c>
    </row>
    <row r="232" spans="1:23" ht="28" x14ac:dyDescent="0.15">
      <c r="A232" s="62" t="s">
        <v>698</v>
      </c>
      <c r="B232" s="62" t="s">
        <v>68</v>
      </c>
      <c r="C232" s="64" t="s">
        <v>591</v>
      </c>
      <c r="D232" s="66" t="s">
        <v>673</v>
      </c>
      <c r="E232" s="64" t="s">
        <v>699</v>
      </c>
      <c r="F232" s="67" t="s">
        <v>700</v>
      </c>
      <c r="G232" s="60" t="s">
        <v>114</v>
      </c>
      <c r="H232" s="60" t="b">
        <v>0</v>
      </c>
      <c r="I232" s="60" t="b">
        <v>0</v>
      </c>
      <c r="J232" s="60" t="b">
        <v>1</v>
      </c>
      <c r="K232" s="60" t="b">
        <v>0</v>
      </c>
      <c r="L232" s="60" t="b">
        <v>0</v>
      </c>
      <c r="M232" s="60" t="b">
        <v>0</v>
      </c>
      <c r="N232" s="60" t="b">
        <v>0</v>
      </c>
      <c r="O232" s="60" t="b">
        <v>0</v>
      </c>
      <c r="P232" s="60" t="b">
        <v>0</v>
      </c>
      <c r="Q232" s="60" t="b">
        <v>0</v>
      </c>
      <c r="R232" s="60" t="b">
        <v>0</v>
      </c>
      <c r="S232" s="60" t="b">
        <v>0</v>
      </c>
      <c r="T232" s="60" t="b">
        <v>0</v>
      </c>
      <c r="U232" s="60" t="b">
        <v>0</v>
      </c>
      <c r="V232" s="60" t="b">
        <v>0</v>
      </c>
      <c r="W232" s="60" t="b">
        <v>0</v>
      </c>
    </row>
    <row r="233" spans="1:23" ht="28" x14ac:dyDescent="0.15">
      <c r="A233" s="62" t="s">
        <v>701</v>
      </c>
      <c r="B233" s="62" t="s">
        <v>68</v>
      </c>
      <c r="C233" s="64" t="s">
        <v>591</v>
      </c>
      <c r="D233" s="66" t="s">
        <v>673</v>
      </c>
      <c r="E233" s="64" t="s">
        <v>699</v>
      </c>
      <c r="F233" s="67" t="s">
        <v>702</v>
      </c>
      <c r="G233" s="60" t="s">
        <v>114</v>
      </c>
      <c r="H233" s="60" t="b">
        <v>0</v>
      </c>
      <c r="I233" s="60" t="b">
        <v>0</v>
      </c>
      <c r="J233" s="60" t="b">
        <v>1</v>
      </c>
      <c r="K233" s="60" t="b">
        <v>0</v>
      </c>
      <c r="L233" s="60" t="b">
        <v>0</v>
      </c>
      <c r="M233" s="60" t="b">
        <v>0</v>
      </c>
      <c r="N233" s="60" t="b">
        <v>0</v>
      </c>
      <c r="O233" s="60" t="b">
        <v>0</v>
      </c>
      <c r="P233" s="60" t="b">
        <v>0</v>
      </c>
      <c r="Q233" s="60" t="b">
        <v>0</v>
      </c>
      <c r="R233" s="60" t="b">
        <v>0</v>
      </c>
      <c r="S233" s="60" t="b">
        <v>0</v>
      </c>
      <c r="T233" s="60" t="b">
        <v>0</v>
      </c>
      <c r="U233" s="60" t="b">
        <v>0</v>
      </c>
      <c r="V233" s="60" t="b">
        <v>0</v>
      </c>
      <c r="W233" s="60" t="b">
        <v>0</v>
      </c>
    </row>
    <row r="234" spans="1:23" ht="28" x14ac:dyDescent="0.15">
      <c r="A234" s="62" t="s">
        <v>703</v>
      </c>
      <c r="B234" s="62" t="s">
        <v>68</v>
      </c>
      <c r="C234" s="64" t="s">
        <v>591</v>
      </c>
      <c r="D234" s="66" t="s">
        <v>673</v>
      </c>
      <c r="E234" s="64" t="s">
        <v>699</v>
      </c>
      <c r="F234" s="67" t="s">
        <v>704</v>
      </c>
      <c r="G234" s="60" t="s">
        <v>114</v>
      </c>
      <c r="H234" s="60" t="b">
        <v>0</v>
      </c>
      <c r="I234" s="60" t="b">
        <v>0</v>
      </c>
      <c r="J234" s="60" t="b">
        <v>1</v>
      </c>
      <c r="K234" s="60" t="b">
        <v>0</v>
      </c>
      <c r="L234" s="60" t="b">
        <v>0</v>
      </c>
      <c r="M234" s="60" t="b">
        <v>0</v>
      </c>
      <c r="N234" s="60" t="b">
        <v>0</v>
      </c>
      <c r="O234" s="60" t="b">
        <v>0</v>
      </c>
      <c r="P234" s="60" t="b">
        <v>0</v>
      </c>
      <c r="Q234" s="60" t="b">
        <v>0</v>
      </c>
      <c r="R234" s="60" t="b">
        <v>0</v>
      </c>
      <c r="S234" s="60" t="b">
        <v>0</v>
      </c>
      <c r="T234" s="60" t="b">
        <v>0</v>
      </c>
      <c r="U234" s="60" t="b">
        <v>0</v>
      </c>
      <c r="V234" s="60" t="b">
        <v>0</v>
      </c>
      <c r="W234" s="60" t="b">
        <v>0</v>
      </c>
    </row>
    <row r="235" spans="1:23" ht="140" x14ac:dyDescent="0.15">
      <c r="A235" s="62" t="s">
        <v>705</v>
      </c>
      <c r="B235" s="62" t="s">
        <v>68</v>
      </c>
      <c r="C235" s="64" t="s">
        <v>591</v>
      </c>
      <c r="D235" s="66" t="s">
        <v>673</v>
      </c>
      <c r="E235" s="64" t="s">
        <v>706</v>
      </c>
      <c r="F235" s="67" t="s">
        <v>707</v>
      </c>
      <c r="G235" s="60" t="s">
        <v>114</v>
      </c>
      <c r="H235" s="60" t="b">
        <v>0</v>
      </c>
      <c r="I235" s="60" t="b">
        <v>0</v>
      </c>
      <c r="J235" s="60" t="b">
        <v>1</v>
      </c>
      <c r="K235" s="60" t="b">
        <v>0</v>
      </c>
      <c r="L235" s="60" t="b">
        <v>0</v>
      </c>
      <c r="M235" s="60" t="b">
        <v>0</v>
      </c>
      <c r="N235" s="60" t="b">
        <v>0</v>
      </c>
      <c r="O235" s="60" t="b">
        <v>0</v>
      </c>
      <c r="P235" s="60" t="b">
        <v>0</v>
      </c>
      <c r="Q235" s="60" t="b">
        <v>0</v>
      </c>
      <c r="R235" s="60" t="b">
        <v>0</v>
      </c>
      <c r="S235" s="60" t="b">
        <v>0</v>
      </c>
      <c r="T235" s="60" t="b">
        <v>0</v>
      </c>
      <c r="U235" s="60" t="b">
        <v>0</v>
      </c>
      <c r="V235" s="60" t="b">
        <v>0</v>
      </c>
      <c r="W235" s="60" t="b">
        <v>0</v>
      </c>
    </row>
    <row r="236" spans="1:23" ht="28" x14ac:dyDescent="0.15">
      <c r="A236" s="62" t="s">
        <v>708</v>
      </c>
      <c r="B236" s="62" t="s">
        <v>68</v>
      </c>
      <c r="C236" s="64" t="s">
        <v>591</v>
      </c>
      <c r="D236" s="66" t="s">
        <v>673</v>
      </c>
      <c r="E236" s="64" t="s">
        <v>706</v>
      </c>
      <c r="F236" s="67" t="s">
        <v>709</v>
      </c>
      <c r="G236" s="60" t="s">
        <v>114</v>
      </c>
      <c r="H236" s="60" t="b">
        <v>0</v>
      </c>
      <c r="I236" s="60" t="b">
        <v>0</v>
      </c>
      <c r="J236" s="60" t="b">
        <v>1</v>
      </c>
      <c r="K236" s="60" t="b">
        <v>0</v>
      </c>
      <c r="L236" s="60" t="b">
        <v>0</v>
      </c>
      <c r="M236" s="60" t="b">
        <v>0</v>
      </c>
      <c r="N236" s="60" t="b">
        <v>0</v>
      </c>
      <c r="O236" s="60" t="b">
        <v>0</v>
      </c>
      <c r="P236" s="60" t="b">
        <v>0</v>
      </c>
      <c r="Q236" s="60" t="b">
        <v>0</v>
      </c>
      <c r="R236" s="60" t="b">
        <v>0</v>
      </c>
      <c r="S236" s="60" t="b">
        <v>0</v>
      </c>
      <c r="T236" s="60" t="b">
        <v>0</v>
      </c>
      <c r="U236" s="60" t="b">
        <v>0</v>
      </c>
      <c r="V236" s="60" t="b">
        <v>0</v>
      </c>
      <c r="W236" s="60" t="b">
        <v>0</v>
      </c>
    </row>
    <row r="237" spans="1:23" ht="56" x14ac:dyDescent="0.15">
      <c r="A237" s="62" t="s">
        <v>710</v>
      </c>
      <c r="B237" s="62" t="s">
        <v>68</v>
      </c>
      <c r="C237" s="64" t="s">
        <v>591</v>
      </c>
      <c r="D237" s="66" t="s">
        <v>673</v>
      </c>
      <c r="E237" s="64" t="s">
        <v>711</v>
      </c>
      <c r="F237" s="67" t="s">
        <v>712</v>
      </c>
      <c r="G237" s="60"/>
      <c r="H237" s="60" t="b">
        <v>0</v>
      </c>
      <c r="I237" s="60" t="b">
        <v>0</v>
      </c>
      <c r="J237" s="60" t="b">
        <v>0</v>
      </c>
      <c r="K237" s="60" t="b">
        <v>0</v>
      </c>
      <c r="L237" s="60" t="b">
        <v>0</v>
      </c>
      <c r="M237" s="60" t="b">
        <v>0</v>
      </c>
      <c r="N237" s="60" t="b">
        <v>0</v>
      </c>
      <c r="O237" s="60" t="b">
        <v>0</v>
      </c>
      <c r="P237" s="60" t="b">
        <v>0</v>
      </c>
      <c r="Q237" s="60" t="b">
        <v>0</v>
      </c>
      <c r="R237" s="60" t="b">
        <v>0</v>
      </c>
      <c r="S237" s="60" t="b">
        <v>0</v>
      </c>
      <c r="T237" s="60" t="b">
        <v>0</v>
      </c>
      <c r="U237" s="60" t="b">
        <v>0</v>
      </c>
      <c r="V237" s="60" t="b">
        <v>0</v>
      </c>
      <c r="W237" s="60" t="b">
        <v>0</v>
      </c>
    </row>
    <row r="238" spans="1:23" ht="28" x14ac:dyDescent="0.15">
      <c r="A238" s="62" t="s">
        <v>713</v>
      </c>
      <c r="B238" s="62" t="s">
        <v>68</v>
      </c>
      <c r="C238" s="64" t="s">
        <v>591</v>
      </c>
      <c r="D238" s="66" t="s">
        <v>673</v>
      </c>
      <c r="E238" s="64" t="s">
        <v>711</v>
      </c>
      <c r="F238" s="67" t="s">
        <v>714</v>
      </c>
      <c r="G238" s="60"/>
      <c r="H238" s="60" t="b">
        <v>0</v>
      </c>
      <c r="I238" s="60" t="b">
        <v>0</v>
      </c>
      <c r="J238" s="60" t="b">
        <v>0</v>
      </c>
      <c r="K238" s="60" t="b">
        <v>0</v>
      </c>
      <c r="L238" s="60" t="b">
        <v>0</v>
      </c>
      <c r="M238" s="60" t="b">
        <v>0</v>
      </c>
      <c r="N238" s="60" t="b">
        <v>0</v>
      </c>
      <c r="O238" s="60" t="b">
        <v>0</v>
      </c>
      <c r="P238" s="60" t="b">
        <v>0</v>
      </c>
      <c r="Q238" s="60" t="b">
        <v>0</v>
      </c>
      <c r="R238" s="60" t="b">
        <v>0</v>
      </c>
      <c r="S238" s="60" t="b">
        <v>0</v>
      </c>
      <c r="T238" s="60" t="b">
        <v>0</v>
      </c>
      <c r="U238" s="60" t="b">
        <v>0</v>
      </c>
      <c r="V238" s="60" t="b">
        <v>0</v>
      </c>
      <c r="W238" s="60" t="b">
        <v>0</v>
      </c>
    </row>
    <row r="239" spans="1:23" ht="70" x14ac:dyDescent="0.15">
      <c r="A239" s="62" t="s">
        <v>715</v>
      </c>
      <c r="B239" s="62" t="s">
        <v>68</v>
      </c>
      <c r="C239" s="64" t="s">
        <v>591</v>
      </c>
      <c r="D239" s="66" t="s">
        <v>716</v>
      </c>
      <c r="E239" s="64" t="s">
        <v>717</v>
      </c>
      <c r="F239" s="67" t="s">
        <v>718</v>
      </c>
      <c r="G239" s="60" t="s">
        <v>124</v>
      </c>
      <c r="H239" s="60" t="b">
        <v>0</v>
      </c>
      <c r="I239" s="60" t="b">
        <v>0</v>
      </c>
      <c r="J239" s="60" t="b">
        <v>0</v>
      </c>
      <c r="K239" s="60" t="b">
        <v>0</v>
      </c>
      <c r="L239" s="60" t="b">
        <v>0</v>
      </c>
      <c r="M239" s="60" t="b">
        <v>0</v>
      </c>
      <c r="N239" s="60" t="b">
        <v>0</v>
      </c>
      <c r="O239" s="60" t="b">
        <v>0</v>
      </c>
      <c r="P239" s="60" t="b">
        <v>0</v>
      </c>
      <c r="Q239" s="60" t="b">
        <v>0</v>
      </c>
      <c r="R239" s="60" t="b">
        <v>0</v>
      </c>
      <c r="S239" s="60" t="b">
        <v>0</v>
      </c>
      <c r="T239" s="60" t="b">
        <v>1</v>
      </c>
      <c r="U239" s="60" t="b">
        <v>0</v>
      </c>
      <c r="V239" s="60" t="b">
        <v>0</v>
      </c>
      <c r="W239" s="60" t="b">
        <v>0</v>
      </c>
    </row>
    <row r="240" spans="1:23" ht="42" x14ac:dyDescent="0.15">
      <c r="A240" s="62" t="s">
        <v>719</v>
      </c>
      <c r="B240" s="62" t="s">
        <v>68</v>
      </c>
      <c r="C240" s="64" t="s">
        <v>591</v>
      </c>
      <c r="D240" s="66" t="s">
        <v>716</v>
      </c>
      <c r="E240" s="64" t="s">
        <v>717</v>
      </c>
      <c r="F240" s="67" t="s">
        <v>720</v>
      </c>
      <c r="G240" s="60" t="s">
        <v>124</v>
      </c>
      <c r="H240" s="60" t="b">
        <v>0</v>
      </c>
      <c r="I240" s="60" t="b">
        <v>0</v>
      </c>
      <c r="J240" s="60" t="b">
        <v>0</v>
      </c>
      <c r="K240" s="60" t="b">
        <v>0</v>
      </c>
      <c r="L240" s="60" t="b">
        <v>0</v>
      </c>
      <c r="M240" s="60" t="b">
        <v>0</v>
      </c>
      <c r="N240" s="60" t="b">
        <v>0</v>
      </c>
      <c r="O240" s="60" t="b">
        <v>0</v>
      </c>
      <c r="P240" s="60" t="b">
        <v>0</v>
      </c>
      <c r="Q240" s="60" t="b">
        <v>0</v>
      </c>
      <c r="R240" s="60" t="b">
        <v>0</v>
      </c>
      <c r="S240" s="60" t="b">
        <v>0</v>
      </c>
      <c r="T240" s="60" t="b">
        <v>1</v>
      </c>
      <c r="U240" s="60" t="b">
        <v>0</v>
      </c>
      <c r="V240" s="60" t="b">
        <v>0</v>
      </c>
      <c r="W240" s="60" t="b">
        <v>0</v>
      </c>
    </row>
    <row r="241" spans="1:23" ht="28" x14ac:dyDescent="0.15">
      <c r="A241" s="62" t="s">
        <v>721</v>
      </c>
      <c r="B241" s="62" t="s">
        <v>68</v>
      </c>
      <c r="C241" s="64" t="s">
        <v>591</v>
      </c>
      <c r="D241" s="66" t="s">
        <v>716</v>
      </c>
      <c r="E241" s="64" t="s">
        <v>722</v>
      </c>
      <c r="F241" s="67" t="s">
        <v>723</v>
      </c>
      <c r="G241" s="60" t="s">
        <v>201</v>
      </c>
      <c r="H241" s="60" t="b">
        <v>0</v>
      </c>
      <c r="I241" s="60" t="b">
        <v>0</v>
      </c>
      <c r="J241" s="60" t="b">
        <v>0</v>
      </c>
      <c r="K241" s="60" t="b">
        <v>0</v>
      </c>
      <c r="L241" s="60" t="b">
        <v>0</v>
      </c>
      <c r="M241" s="60" t="b">
        <v>0</v>
      </c>
      <c r="N241" s="60" t="b">
        <v>0</v>
      </c>
      <c r="O241" s="60" t="b">
        <v>0</v>
      </c>
      <c r="P241" s="60" t="b">
        <v>0</v>
      </c>
      <c r="Q241" s="60" t="b">
        <v>0</v>
      </c>
      <c r="R241" s="60" t="b">
        <v>0</v>
      </c>
      <c r="S241" s="60" t="b">
        <v>0</v>
      </c>
      <c r="T241" s="60" t="b">
        <v>0</v>
      </c>
      <c r="U241" s="60" t="b">
        <v>0</v>
      </c>
      <c r="V241" s="60" t="b">
        <v>0</v>
      </c>
      <c r="W241" s="60" t="b">
        <v>0</v>
      </c>
    </row>
    <row r="242" spans="1:23" ht="28" x14ac:dyDescent="0.15">
      <c r="A242" s="62" t="s">
        <v>724</v>
      </c>
      <c r="B242" s="62" t="s">
        <v>68</v>
      </c>
      <c r="C242" s="64" t="s">
        <v>591</v>
      </c>
      <c r="D242" s="66" t="s">
        <v>725</v>
      </c>
      <c r="E242" s="64" t="s">
        <v>79</v>
      </c>
      <c r="F242" s="67" t="s">
        <v>726</v>
      </c>
      <c r="G242" s="60" t="s">
        <v>113</v>
      </c>
      <c r="H242" s="60" t="b">
        <v>0</v>
      </c>
      <c r="I242" s="60" t="b">
        <v>1</v>
      </c>
      <c r="J242" s="60" t="b">
        <v>0</v>
      </c>
      <c r="K242" s="60" t="b">
        <v>0</v>
      </c>
      <c r="L242" s="60" t="b">
        <v>0</v>
      </c>
      <c r="M242" s="60" t="b">
        <v>0</v>
      </c>
      <c r="N242" s="60" t="b">
        <v>0</v>
      </c>
      <c r="O242" s="60" t="b">
        <v>0</v>
      </c>
      <c r="P242" s="60" t="b">
        <v>0</v>
      </c>
      <c r="Q242" s="60" t="b">
        <v>0</v>
      </c>
      <c r="R242" s="60" t="b">
        <v>0</v>
      </c>
      <c r="S242" s="60" t="b">
        <v>0</v>
      </c>
      <c r="T242" s="60" t="b">
        <v>0</v>
      </c>
      <c r="U242" s="60" t="b">
        <v>0</v>
      </c>
      <c r="V242" s="60" t="b">
        <v>0</v>
      </c>
      <c r="W242" s="60" t="b">
        <v>0</v>
      </c>
    </row>
    <row r="243" spans="1:23" ht="126" x14ac:dyDescent="0.15">
      <c r="A243" s="62" t="s">
        <v>727</v>
      </c>
      <c r="B243" s="62" t="s">
        <v>68</v>
      </c>
      <c r="C243" s="64" t="s">
        <v>591</v>
      </c>
      <c r="D243" s="66" t="s">
        <v>725</v>
      </c>
      <c r="E243" s="64" t="s">
        <v>79</v>
      </c>
      <c r="F243" s="67" t="s">
        <v>728</v>
      </c>
      <c r="G243" s="60" t="s">
        <v>113</v>
      </c>
      <c r="H243" s="60" t="b">
        <v>0</v>
      </c>
      <c r="I243" s="60" t="b">
        <v>1</v>
      </c>
      <c r="J243" s="60" t="b">
        <v>0</v>
      </c>
      <c r="K243" s="60" t="b">
        <v>0</v>
      </c>
      <c r="L243" s="60" t="b">
        <v>0</v>
      </c>
      <c r="M243" s="60" t="b">
        <v>0</v>
      </c>
      <c r="N243" s="60" t="b">
        <v>0</v>
      </c>
      <c r="O243" s="60" t="b">
        <v>0</v>
      </c>
      <c r="P243" s="60" t="b">
        <v>0</v>
      </c>
      <c r="Q243" s="60" t="b">
        <v>0</v>
      </c>
      <c r="R243" s="60" t="b">
        <v>0</v>
      </c>
      <c r="S243" s="60" t="b">
        <v>0</v>
      </c>
      <c r="T243" s="60" t="b">
        <v>0</v>
      </c>
      <c r="U243" s="60" t="b">
        <v>0</v>
      </c>
      <c r="V243" s="60" t="b">
        <v>0</v>
      </c>
      <c r="W243" s="60" t="b">
        <v>0</v>
      </c>
    </row>
    <row r="244" spans="1:23" ht="224" x14ac:dyDescent="0.15">
      <c r="A244" s="62" t="s">
        <v>729</v>
      </c>
      <c r="B244" s="62" t="s">
        <v>68</v>
      </c>
      <c r="C244" s="64" t="s">
        <v>591</v>
      </c>
      <c r="D244" s="66" t="s">
        <v>725</v>
      </c>
      <c r="E244" s="64" t="s">
        <v>730</v>
      </c>
      <c r="F244" s="67" t="s">
        <v>731</v>
      </c>
      <c r="G244" s="60" t="s">
        <v>113</v>
      </c>
      <c r="H244" s="60" t="b">
        <v>0</v>
      </c>
      <c r="I244" s="60" t="b">
        <v>1</v>
      </c>
      <c r="J244" s="60" t="b">
        <v>0</v>
      </c>
      <c r="K244" s="60" t="b">
        <v>0</v>
      </c>
      <c r="L244" s="60" t="b">
        <v>0</v>
      </c>
      <c r="M244" s="60" t="b">
        <v>0</v>
      </c>
      <c r="N244" s="60" t="b">
        <v>0</v>
      </c>
      <c r="O244" s="60" t="b">
        <v>0</v>
      </c>
      <c r="P244" s="60" t="b">
        <v>0</v>
      </c>
      <c r="Q244" s="60" t="b">
        <v>0</v>
      </c>
      <c r="R244" s="60" t="b">
        <v>0</v>
      </c>
      <c r="S244" s="60" t="b">
        <v>0</v>
      </c>
      <c r="T244" s="60" t="b">
        <v>0</v>
      </c>
      <c r="U244" s="60" t="b">
        <v>0</v>
      </c>
      <c r="V244" s="60" t="b">
        <v>0</v>
      </c>
      <c r="W244" s="60" t="b">
        <v>0</v>
      </c>
    </row>
    <row r="245" spans="1:23" ht="28" x14ac:dyDescent="0.15">
      <c r="A245" s="62" t="s">
        <v>732</v>
      </c>
      <c r="B245" s="62" t="s">
        <v>68</v>
      </c>
      <c r="C245" s="64" t="s">
        <v>591</v>
      </c>
      <c r="D245" s="66" t="s">
        <v>733</v>
      </c>
      <c r="E245" s="64" t="s">
        <v>734</v>
      </c>
      <c r="F245" s="67" t="s">
        <v>735</v>
      </c>
      <c r="G245" s="60" t="s">
        <v>120</v>
      </c>
      <c r="H245" s="60" t="b">
        <v>0</v>
      </c>
      <c r="I245" s="60" t="b">
        <v>0</v>
      </c>
      <c r="J245" s="60" t="b">
        <v>0</v>
      </c>
      <c r="K245" s="60" t="b">
        <v>0</v>
      </c>
      <c r="L245" s="60" t="b">
        <v>0</v>
      </c>
      <c r="M245" s="60" t="b">
        <v>0</v>
      </c>
      <c r="N245" s="60" t="b">
        <v>0</v>
      </c>
      <c r="O245" s="60" t="b">
        <v>0</v>
      </c>
      <c r="P245" s="60" t="b">
        <v>1</v>
      </c>
      <c r="Q245" s="60" t="b">
        <v>0</v>
      </c>
      <c r="R245" s="60" t="b">
        <v>0</v>
      </c>
      <c r="S245" s="60" t="b">
        <v>0</v>
      </c>
      <c r="T245" s="60" t="b">
        <v>0</v>
      </c>
      <c r="U245" s="60" t="b">
        <v>0</v>
      </c>
      <c r="V245" s="60" t="b">
        <v>0</v>
      </c>
      <c r="W245" s="60" t="b">
        <v>0</v>
      </c>
    </row>
    <row r="246" spans="1:23" ht="28" x14ac:dyDescent="0.15">
      <c r="A246" s="62" t="s">
        <v>736</v>
      </c>
      <c r="B246" s="62" t="s">
        <v>68</v>
      </c>
      <c r="C246" s="64" t="s">
        <v>591</v>
      </c>
      <c r="D246" s="66" t="s">
        <v>733</v>
      </c>
      <c r="E246" s="64" t="s">
        <v>734</v>
      </c>
      <c r="F246" s="67" t="s">
        <v>737</v>
      </c>
      <c r="G246" s="60" t="s">
        <v>113</v>
      </c>
      <c r="H246" s="60" t="b">
        <v>0</v>
      </c>
      <c r="I246" s="60" t="b">
        <v>1</v>
      </c>
      <c r="J246" s="60" t="b">
        <v>0</v>
      </c>
      <c r="K246" s="60" t="b">
        <v>0</v>
      </c>
      <c r="L246" s="60" t="b">
        <v>0</v>
      </c>
      <c r="M246" s="60" t="b">
        <v>0</v>
      </c>
      <c r="N246" s="60" t="b">
        <v>0</v>
      </c>
      <c r="O246" s="60" t="b">
        <v>0</v>
      </c>
      <c r="P246" s="60" t="b">
        <v>0</v>
      </c>
      <c r="Q246" s="60" t="b">
        <v>0</v>
      </c>
      <c r="R246" s="60" t="b">
        <v>0</v>
      </c>
      <c r="S246" s="60" t="b">
        <v>0</v>
      </c>
      <c r="T246" s="60" t="b">
        <v>0</v>
      </c>
      <c r="U246" s="60" t="b">
        <v>0</v>
      </c>
      <c r="V246" s="60" t="b">
        <v>0</v>
      </c>
      <c r="W246" s="60" t="b">
        <v>0</v>
      </c>
    </row>
    <row r="247" spans="1:23" ht="28" x14ac:dyDescent="0.15">
      <c r="A247" s="62" t="s">
        <v>738</v>
      </c>
      <c r="B247" s="62" t="s">
        <v>68</v>
      </c>
      <c r="C247" s="64" t="s">
        <v>591</v>
      </c>
      <c r="D247" s="66" t="s">
        <v>739</v>
      </c>
      <c r="E247" s="64" t="s">
        <v>26</v>
      </c>
      <c r="F247" s="67" t="s">
        <v>740</v>
      </c>
      <c r="G247" s="60" t="s">
        <v>741</v>
      </c>
      <c r="H247" s="60" t="b">
        <v>1</v>
      </c>
      <c r="I247" s="60" t="b">
        <v>0</v>
      </c>
      <c r="J247" s="60" t="b">
        <v>0</v>
      </c>
      <c r="K247" s="60" t="b">
        <v>0</v>
      </c>
      <c r="L247" s="60" t="b">
        <v>0</v>
      </c>
      <c r="M247" s="60" t="b">
        <v>0</v>
      </c>
      <c r="N247" s="60" t="b">
        <v>0</v>
      </c>
      <c r="O247" s="60" t="b">
        <v>0</v>
      </c>
      <c r="P247" s="60" t="b">
        <v>1</v>
      </c>
      <c r="Q247" s="60" t="b">
        <v>1</v>
      </c>
      <c r="R247" s="60" t="b">
        <v>1</v>
      </c>
      <c r="S247" s="60" t="b">
        <v>0</v>
      </c>
      <c r="T247" s="60" t="b">
        <v>0</v>
      </c>
      <c r="U247" s="60" t="b">
        <v>0</v>
      </c>
      <c r="V247" s="60" t="b">
        <v>0</v>
      </c>
      <c r="W247" s="60" t="b">
        <v>0</v>
      </c>
    </row>
    <row r="248" spans="1:23" ht="168" x14ac:dyDescent="0.15">
      <c r="A248" s="62" t="s">
        <v>742</v>
      </c>
      <c r="B248" s="62" t="s">
        <v>68</v>
      </c>
      <c r="C248" s="64" t="s">
        <v>591</v>
      </c>
      <c r="D248" s="66" t="s">
        <v>739</v>
      </c>
      <c r="E248" s="64" t="s">
        <v>26</v>
      </c>
      <c r="F248" s="67" t="s">
        <v>743</v>
      </c>
      <c r="G248" s="60" t="s">
        <v>115</v>
      </c>
      <c r="H248" s="60" t="b">
        <v>0</v>
      </c>
      <c r="I248" s="60" t="b">
        <v>0</v>
      </c>
      <c r="J248" s="60" t="b">
        <v>0</v>
      </c>
      <c r="K248" s="60" t="b">
        <v>1</v>
      </c>
      <c r="L248" s="60" t="b">
        <v>0</v>
      </c>
      <c r="M248" s="60" t="b">
        <v>0</v>
      </c>
      <c r="N248" s="60" t="b">
        <v>0</v>
      </c>
      <c r="O248" s="60" t="b">
        <v>0</v>
      </c>
      <c r="P248" s="60" t="b">
        <v>0</v>
      </c>
      <c r="Q248" s="60" t="b">
        <v>0</v>
      </c>
      <c r="R248" s="60" t="b">
        <v>0</v>
      </c>
      <c r="S248" s="60" t="b">
        <v>0</v>
      </c>
      <c r="T248" s="60" t="b">
        <v>0</v>
      </c>
      <c r="U248" s="60" t="b">
        <v>0</v>
      </c>
      <c r="V248" s="60" t="b">
        <v>0</v>
      </c>
      <c r="W248" s="60" t="b">
        <v>0</v>
      </c>
    </row>
    <row r="249" spans="1:23" ht="56" x14ac:dyDescent="0.15">
      <c r="A249" s="62" t="s">
        <v>744</v>
      </c>
      <c r="B249" s="62" t="s">
        <v>68</v>
      </c>
      <c r="C249" s="64" t="s">
        <v>591</v>
      </c>
      <c r="D249" s="66" t="s">
        <v>739</v>
      </c>
      <c r="E249" s="64" t="s">
        <v>745</v>
      </c>
      <c r="F249" s="67" t="s">
        <v>746</v>
      </c>
      <c r="G249" s="60" t="s">
        <v>115</v>
      </c>
      <c r="H249" s="60" t="b">
        <v>0</v>
      </c>
      <c r="I249" s="60" t="b">
        <v>0</v>
      </c>
      <c r="J249" s="60" t="b">
        <v>0</v>
      </c>
      <c r="K249" s="60" t="b">
        <v>1</v>
      </c>
      <c r="L249" s="60" t="b">
        <v>0</v>
      </c>
      <c r="M249" s="60" t="b">
        <v>0</v>
      </c>
      <c r="N249" s="60" t="b">
        <v>0</v>
      </c>
      <c r="O249" s="60" t="b">
        <v>0</v>
      </c>
      <c r="P249" s="60" t="b">
        <v>0</v>
      </c>
      <c r="Q249" s="60" t="b">
        <v>0</v>
      </c>
      <c r="R249" s="60" t="b">
        <v>0</v>
      </c>
      <c r="S249" s="60" t="b">
        <v>0</v>
      </c>
      <c r="T249" s="60" t="b">
        <v>0</v>
      </c>
      <c r="U249" s="60" t="b">
        <v>0</v>
      </c>
      <c r="V249" s="60" t="b">
        <v>0</v>
      </c>
      <c r="W249" s="60" t="b">
        <v>0</v>
      </c>
    </row>
    <row r="250" spans="1:23" ht="56" x14ac:dyDescent="0.15">
      <c r="A250" s="62" t="s">
        <v>747</v>
      </c>
      <c r="B250" s="62" t="s">
        <v>68</v>
      </c>
      <c r="C250" s="64" t="s">
        <v>591</v>
      </c>
      <c r="D250" s="66" t="s">
        <v>739</v>
      </c>
      <c r="E250" s="64" t="s">
        <v>748</v>
      </c>
      <c r="F250" s="67" t="s">
        <v>749</v>
      </c>
      <c r="G250" s="60" t="s">
        <v>115</v>
      </c>
      <c r="H250" s="60" t="b">
        <v>0</v>
      </c>
      <c r="I250" s="60" t="b">
        <v>0</v>
      </c>
      <c r="J250" s="60" t="b">
        <v>0</v>
      </c>
      <c r="K250" s="60" t="b">
        <v>1</v>
      </c>
      <c r="L250" s="60" t="b">
        <v>0</v>
      </c>
      <c r="M250" s="60" t="b">
        <v>0</v>
      </c>
      <c r="N250" s="60" t="b">
        <v>0</v>
      </c>
      <c r="O250" s="60" t="b">
        <v>0</v>
      </c>
      <c r="P250" s="60" t="b">
        <v>0</v>
      </c>
      <c r="Q250" s="60" t="b">
        <v>0</v>
      </c>
      <c r="R250" s="60" t="b">
        <v>0</v>
      </c>
      <c r="S250" s="60" t="b">
        <v>0</v>
      </c>
      <c r="T250" s="60" t="b">
        <v>0</v>
      </c>
      <c r="U250" s="60" t="b">
        <v>0</v>
      </c>
      <c r="V250" s="60" t="b">
        <v>0</v>
      </c>
      <c r="W250" s="60" t="b">
        <v>0</v>
      </c>
    </row>
    <row r="251" spans="1:23" ht="28" x14ac:dyDescent="0.15">
      <c r="A251" s="62" t="s">
        <v>750</v>
      </c>
      <c r="B251" s="62" t="s">
        <v>68</v>
      </c>
      <c r="C251" s="64" t="s">
        <v>591</v>
      </c>
      <c r="D251" s="66" t="s">
        <v>739</v>
      </c>
      <c r="E251" s="64" t="s">
        <v>751</v>
      </c>
      <c r="F251" s="67" t="s">
        <v>752</v>
      </c>
      <c r="G251" s="60" t="s">
        <v>193</v>
      </c>
      <c r="H251" s="60" t="b">
        <v>0</v>
      </c>
      <c r="I251" s="60" t="b">
        <v>0</v>
      </c>
      <c r="J251" s="60" t="b">
        <v>0</v>
      </c>
      <c r="K251" s="60" t="b">
        <v>0</v>
      </c>
      <c r="L251" s="60" t="b">
        <v>0</v>
      </c>
      <c r="M251" s="60" t="b">
        <v>0</v>
      </c>
      <c r="N251" s="60" t="b">
        <v>0</v>
      </c>
      <c r="O251" s="60" t="b">
        <v>0</v>
      </c>
      <c r="P251" s="60" t="b">
        <v>1</v>
      </c>
      <c r="Q251" s="60" t="b">
        <v>0</v>
      </c>
      <c r="R251" s="60" t="b">
        <v>1</v>
      </c>
      <c r="S251" s="60" t="b">
        <v>0</v>
      </c>
      <c r="T251" s="60" t="b">
        <v>0</v>
      </c>
      <c r="U251" s="60" t="b">
        <v>0</v>
      </c>
      <c r="V251" s="60" t="b">
        <v>0</v>
      </c>
      <c r="W251" s="60" t="b">
        <v>0</v>
      </c>
    </row>
    <row r="252" spans="1:23" ht="28" x14ac:dyDescent="0.15">
      <c r="A252" s="62" t="s">
        <v>753</v>
      </c>
      <c r="B252" s="62" t="s">
        <v>68</v>
      </c>
      <c r="C252" s="64" t="s">
        <v>591</v>
      </c>
      <c r="D252" s="66" t="s">
        <v>739</v>
      </c>
      <c r="E252" s="64" t="s">
        <v>751</v>
      </c>
      <c r="F252" s="67" t="s">
        <v>754</v>
      </c>
      <c r="G252" s="60" t="s">
        <v>193</v>
      </c>
      <c r="H252" s="60" t="b">
        <v>0</v>
      </c>
      <c r="I252" s="60" t="b">
        <v>0</v>
      </c>
      <c r="J252" s="60" t="b">
        <v>0</v>
      </c>
      <c r="K252" s="60" t="b">
        <v>0</v>
      </c>
      <c r="L252" s="60" t="b">
        <v>0</v>
      </c>
      <c r="M252" s="60" t="b">
        <v>0</v>
      </c>
      <c r="N252" s="60" t="b">
        <v>0</v>
      </c>
      <c r="O252" s="60" t="b">
        <v>0</v>
      </c>
      <c r="P252" s="60" t="b">
        <v>1</v>
      </c>
      <c r="Q252" s="60" t="b">
        <v>0</v>
      </c>
      <c r="R252" s="60" t="b">
        <v>1</v>
      </c>
      <c r="S252" s="60" t="b">
        <v>0</v>
      </c>
      <c r="T252" s="60" t="b">
        <v>0</v>
      </c>
      <c r="U252" s="60" t="b">
        <v>0</v>
      </c>
      <c r="V252" s="60" t="b">
        <v>0</v>
      </c>
      <c r="W252" s="60" t="b">
        <v>0</v>
      </c>
    </row>
    <row r="253" spans="1:23" ht="293" x14ac:dyDescent="0.15">
      <c r="A253" s="62" t="s">
        <v>755</v>
      </c>
      <c r="B253" s="62" t="s">
        <v>68</v>
      </c>
      <c r="C253" s="64" t="s">
        <v>591</v>
      </c>
      <c r="D253" s="66" t="s">
        <v>756</v>
      </c>
      <c r="E253" s="64" t="s">
        <v>757</v>
      </c>
      <c r="F253" s="67" t="s">
        <v>758</v>
      </c>
      <c r="G253" s="60" t="s">
        <v>120</v>
      </c>
      <c r="H253" s="60" t="b">
        <v>0</v>
      </c>
      <c r="I253" s="60" t="b">
        <v>0</v>
      </c>
      <c r="J253" s="60" t="b">
        <v>0</v>
      </c>
      <c r="K253" s="60" t="b">
        <v>0</v>
      </c>
      <c r="L253" s="60" t="b">
        <v>0</v>
      </c>
      <c r="M253" s="60" t="b">
        <v>0</v>
      </c>
      <c r="N253" s="60" t="b">
        <v>0</v>
      </c>
      <c r="O253" s="60" t="b">
        <v>0</v>
      </c>
      <c r="P253" s="60" t="b">
        <v>1</v>
      </c>
      <c r="Q253" s="60" t="b">
        <v>0</v>
      </c>
      <c r="R253" s="60" t="b">
        <v>0</v>
      </c>
      <c r="S253" s="60" t="b">
        <v>0</v>
      </c>
      <c r="T253" s="60" t="b">
        <v>0</v>
      </c>
      <c r="U253" s="60" t="b">
        <v>0</v>
      </c>
      <c r="V253" s="60" t="b">
        <v>0</v>
      </c>
      <c r="W253" s="60" t="b">
        <v>0</v>
      </c>
    </row>
    <row r="254" spans="1:23" ht="42" x14ac:dyDescent="0.15">
      <c r="A254" s="62" t="s">
        <v>759</v>
      </c>
      <c r="B254" s="62" t="s">
        <v>68</v>
      </c>
      <c r="C254" s="64" t="s">
        <v>631</v>
      </c>
      <c r="D254" s="66" t="s">
        <v>760</v>
      </c>
      <c r="E254" s="64" t="s">
        <v>761</v>
      </c>
      <c r="F254" s="67" t="s">
        <v>762</v>
      </c>
      <c r="G254" s="60" t="s">
        <v>112</v>
      </c>
      <c r="H254" s="60" t="b">
        <v>1</v>
      </c>
      <c r="I254" s="60" t="b">
        <v>0</v>
      </c>
      <c r="J254" s="60" t="b">
        <v>0</v>
      </c>
      <c r="K254" s="60" t="b">
        <v>0</v>
      </c>
      <c r="L254" s="60" t="b">
        <v>0</v>
      </c>
      <c r="M254" s="60" t="b">
        <v>0</v>
      </c>
      <c r="N254" s="60" t="b">
        <v>0</v>
      </c>
      <c r="O254" s="60" t="b">
        <v>0</v>
      </c>
      <c r="P254" s="60" t="b">
        <v>0</v>
      </c>
      <c r="Q254" s="60" t="b">
        <v>0</v>
      </c>
      <c r="R254" s="60" t="b">
        <v>0</v>
      </c>
      <c r="S254" s="60" t="b">
        <v>0</v>
      </c>
      <c r="T254" s="60" t="b">
        <v>0</v>
      </c>
      <c r="U254" s="60" t="b">
        <v>0</v>
      </c>
      <c r="V254" s="60" t="b">
        <v>0</v>
      </c>
      <c r="W254" s="60" t="b">
        <v>0</v>
      </c>
    </row>
    <row r="255" spans="1:23" ht="42" x14ac:dyDescent="0.15">
      <c r="A255" s="62" t="s">
        <v>763</v>
      </c>
      <c r="B255" s="62" t="s">
        <v>68</v>
      </c>
      <c r="C255" s="64" t="s">
        <v>631</v>
      </c>
      <c r="D255" s="66" t="s">
        <v>760</v>
      </c>
      <c r="E255" s="64" t="s">
        <v>761</v>
      </c>
      <c r="F255" s="67" t="s">
        <v>764</v>
      </c>
      <c r="G255" s="60" t="s">
        <v>112</v>
      </c>
      <c r="H255" s="60" t="b">
        <v>1</v>
      </c>
      <c r="I255" s="60" t="b">
        <v>0</v>
      </c>
      <c r="J255" s="60" t="b">
        <v>0</v>
      </c>
      <c r="K255" s="60" t="b">
        <v>0</v>
      </c>
      <c r="L255" s="60" t="b">
        <v>0</v>
      </c>
      <c r="M255" s="60" t="b">
        <v>0</v>
      </c>
      <c r="N255" s="60" t="b">
        <v>0</v>
      </c>
      <c r="O255" s="60" t="b">
        <v>0</v>
      </c>
      <c r="P255" s="60" t="b">
        <v>0</v>
      </c>
      <c r="Q255" s="60" t="b">
        <v>0</v>
      </c>
      <c r="R255" s="60" t="b">
        <v>0</v>
      </c>
      <c r="S255" s="60" t="b">
        <v>0</v>
      </c>
      <c r="T255" s="60" t="b">
        <v>0</v>
      </c>
      <c r="U255" s="60" t="b">
        <v>0</v>
      </c>
      <c r="V255" s="60" t="b">
        <v>0</v>
      </c>
      <c r="W255" s="60" t="b">
        <v>0</v>
      </c>
    </row>
    <row r="256" spans="1:23" ht="42" x14ac:dyDescent="0.15">
      <c r="A256" s="62" t="s">
        <v>765</v>
      </c>
      <c r="B256" s="62" t="s">
        <v>68</v>
      </c>
      <c r="C256" s="64" t="s">
        <v>631</v>
      </c>
      <c r="D256" s="66" t="s">
        <v>760</v>
      </c>
      <c r="E256" s="64" t="s">
        <v>761</v>
      </c>
      <c r="F256" s="67" t="s">
        <v>766</v>
      </c>
      <c r="G256" s="60" t="s">
        <v>123</v>
      </c>
      <c r="H256" s="60" t="b">
        <v>0</v>
      </c>
      <c r="I256" s="60" t="b">
        <v>0</v>
      </c>
      <c r="J256" s="60" t="b">
        <v>0</v>
      </c>
      <c r="K256" s="60" t="b">
        <v>0</v>
      </c>
      <c r="L256" s="60" t="b">
        <v>0</v>
      </c>
      <c r="M256" s="60" t="b">
        <v>0</v>
      </c>
      <c r="N256" s="60" t="b">
        <v>0</v>
      </c>
      <c r="O256" s="60" t="b">
        <v>0</v>
      </c>
      <c r="P256" s="60" t="b">
        <v>0</v>
      </c>
      <c r="Q256" s="60" t="b">
        <v>0</v>
      </c>
      <c r="R256" s="60" t="b">
        <v>0</v>
      </c>
      <c r="S256" s="60" t="b">
        <v>1</v>
      </c>
      <c r="T256" s="60" t="b">
        <v>0</v>
      </c>
      <c r="U256" s="60" t="b">
        <v>0</v>
      </c>
      <c r="V256" s="60" t="b">
        <v>0</v>
      </c>
      <c r="W256" s="60" t="b">
        <v>0</v>
      </c>
    </row>
    <row r="257" spans="1:23" ht="28" x14ac:dyDescent="0.15">
      <c r="A257" s="62" t="s">
        <v>767</v>
      </c>
      <c r="B257" s="62" t="s">
        <v>68</v>
      </c>
      <c r="C257" s="64" t="s">
        <v>631</v>
      </c>
      <c r="D257" s="66" t="s">
        <v>760</v>
      </c>
      <c r="E257" s="64" t="s">
        <v>761</v>
      </c>
      <c r="F257" s="67" t="s">
        <v>768</v>
      </c>
      <c r="G257" s="60" t="s">
        <v>201</v>
      </c>
      <c r="H257" s="60" t="b">
        <v>0</v>
      </c>
      <c r="I257" s="60" t="b">
        <v>0</v>
      </c>
      <c r="J257" s="60" t="b">
        <v>0</v>
      </c>
      <c r="K257" s="60" t="b">
        <v>0</v>
      </c>
      <c r="L257" s="60" t="b">
        <v>0</v>
      </c>
      <c r="M257" s="60" t="b">
        <v>0</v>
      </c>
      <c r="N257" s="60" t="b">
        <v>0</v>
      </c>
      <c r="O257" s="60" t="b">
        <v>0</v>
      </c>
      <c r="P257" s="60" t="b">
        <v>0</v>
      </c>
      <c r="Q257" s="60" t="b">
        <v>0</v>
      </c>
      <c r="R257" s="60" t="b">
        <v>0</v>
      </c>
      <c r="S257" s="60" t="b">
        <v>0</v>
      </c>
      <c r="T257" s="60" t="b">
        <v>0</v>
      </c>
      <c r="U257" s="60" t="b">
        <v>0</v>
      </c>
      <c r="V257" s="60" t="b">
        <v>0</v>
      </c>
      <c r="W257" s="60" t="b">
        <v>0</v>
      </c>
    </row>
    <row r="258" spans="1:23" ht="28" x14ac:dyDescent="0.15">
      <c r="A258" s="62" t="s">
        <v>769</v>
      </c>
      <c r="B258" s="62" t="s">
        <v>68</v>
      </c>
      <c r="C258" s="64" t="s">
        <v>631</v>
      </c>
      <c r="D258" s="66" t="s">
        <v>760</v>
      </c>
      <c r="E258" s="64" t="s">
        <v>761</v>
      </c>
      <c r="F258" s="67" t="s">
        <v>770</v>
      </c>
      <c r="G258" s="60" t="s">
        <v>201</v>
      </c>
      <c r="H258" s="60" t="b">
        <v>0</v>
      </c>
      <c r="I258" s="60" t="b">
        <v>0</v>
      </c>
      <c r="J258" s="60" t="b">
        <v>0</v>
      </c>
      <c r="K258" s="60" t="b">
        <v>0</v>
      </c>
      <c r="L258" s="60" t="b">
        <v>0</v>
      </c>
      <c r="M258" s="60" t="b">
        <v>0</v>
      </c>
      <c r="N258" s="60" t="b">
        <v>0</v>
      </c>
      <c r="O258" s="60" t="b">
        <v>0</v>
      </c>
      <c r="P258" s="60" t="b">
        <v>0</v>
      </c>
      <c r="Q258" s="60" t="b">
        <v>0</v>
      </c>
      <c r="R258" s="60" t="b">
        <v>0</v>
      </c>
      <c r="S258" s="60" t="b">
        <v>0</v>
      </c>
      <c r="T258" s="60" t="b">
        <v>0</v>
      </c>
      <c r="U258" s="60" t="b">
        <v>0</v>
      </c>
      <c r="V258" s="60" t="b">
        <v>0</v>
      </c>
      <c r="W258" s="60" t="b">
        <v>0</v>
      </c>
    </row>
    <row r="259" spans="1:23" ht="42" x14ac:dyDescent="0.15">
      <c r="A259" s="62" t="s">
        <v>771</v>
      </c>
      <c r="B259" s="62" t="s">
        <v>68</v>
      </c>
      <c r="C259" s="64" t="s">
        <v>631</v>
      </c>
      <c r="D259" s="66" t="s">
        <v>760</v>
      </c>
      <c r="E259" s="64" t="s">
        <v>772</v>
      </c>
      <c r="F259" s="67" t="s">
        <v>773</v>
      </c>
      <c r="G259" s="60" t="s">
        <v>539</v>
      </c>
      <c r="H259" s="60" t="b">
        <v>0</v>
      </c>
      <c r="I259" s="60" t="b">
        <v>0</v>
      </c>
      <c r="J259" s="60" t="b">
        <v>0</v>
      </c>
      <c r="K259" s="60" t="b">
        <v>0</v>
      </c>
      <c r="L259" s="60" t="b">
        <v>0</v>
      </c>
      <c r="M259" s="60" t="b">
        <v>0</v>
      </c>
      <c r="N259" s="60" t="b">
        <v>0</v>
      </c>
      <c r="O259" s="60" t="b">
        <v>0</v>
      </c>
      <c r="P259" s="60" t="b">
        <v>0</v>
      </c>
      <c r="Q259" s="60" t="b">
        <v>0</v>
      </c>
      <c r="R259" s="60" t="b">
        <v>0</v>
      </c>
      <c r="S259" s="60" t="b">
        <v>1</v>
      </c>
      <c r="T259" s="60" t="b">
        <v>0</v>
      </c>
      <c r="U259" s="60" t="b">
        <v>0</v>
      </c>
      <c r="V259" s="60" t="b">
        <v>0</v>
      </c>
      <c r="W259" s="60" t="b">
        <v>0</v>
      </c>
    </row>
    <row r="260" spans="1:23" ht="28" x14ac:dyDescent="0.15">
      <c r="A260" s="62" t="s">
        <v>774</v>
      </c>
      <c r="B260" s="62" t="s">
        <v>68</v>
      </c>
      <c r="C260" s="64" t="s">
        <v>631</v>
      </c>
      <c r="D260" s="66" t="s">
        <v>760</v>
      </c>
      <c r="E260" s="64" t="s">
        <v>772</v>
      </c>
      <c r="F260" s="67" t="s">
        <v>775</v>
      </c>
      <c r="G260" s="60" t="s">
        <v>539</v>
      </c>
      <c r="H260" s="60" t="b">
        <v>0</v>
      </c>
      <c r="I260" s="60" t="b">
        <v>0</v>
      </c>
      <c r="J260" s="60" t="b">
        <v>0</v>
      </c>
      <c r="K260" s="60" t="b">
        <v>0</v>
      </c>
      <c r="L260" s="60" t="b">
        <v>0</v>
      </c>
      <c r="M260" s="60" t="b">
        <v>0</v>
      </c>
      <c r="N260" s="60" t="b">
        <v>0</v>
      </c>
      <c r="O260" s="60" t="b">
        <v>0</v>
      </c>
      <c r="P260" s="60" t="b">
        <v>0</v>
      </c>
      <c r="Q260" s="60" t="b">
        <v>0</v>
      </c>
      <c r="R260" s="60" t="b">
        <v>0</v>
      </c>
      <c r="S260" s="60" t="b">
        <v>1</v>
      </c>
      <c r="T260" s="60" t="b">
        <v>0</v>
      </c>
      <c r="U260" s="60" t="b">
        <v>0</v>
      </c>
      <c r="V260" s="60" t="b">
        <v>0</v>
      </c>
      <c r="W260" s="60" t="b">
        <v>0</v>
      </c>
    </row>
    <row r="261" spans="1:23" ht="70" x14ac:dyDescent="0.15">
      <c r="A261" s="62" t="s">
        <v>776</v>
      </c>
      <c r="B261" s="62" t="s">
        <v>68</v>
      </c>
      <c r="C261" s="64" t="s">
        <v>631</v>
      </c>
      <c r="D261" s="66" t="s">
        <v>760</v>
      </c>
      <c r="E261" s="64" t="s">
        <v>772</v>
      </c>
      <c r="F261" s="67" t="s">
        <v>777</v>
      </c>
      <c r="G261" s="60" t="s">
        <v>539</v>
      </c>
      <c r="H261" s="60" t="b">
        <v>0</v>
      </c>
      <c r="I261" s="60" t="b">
        <v>0</v>
      </c>
      <c r="J261" s="60" t="b">
        <v>0</v>
      </c>
      <c r="K261" s="60" t="b">
        <v>0</v>
      </c>
      <c r="L261" s="60" t="b">
        <v>0</v>
      </c>
      <c r="M261" s="60" t="b">
        <v>0</v>
      </c>
      <c r="N261" s="60" t="b">
        <v>0</v>
      </c>
      <c r="O261" s="60" t="b">
        <v>0</v>
      </c>
      <c r="P261" s="60" t="b">
        <v>0</v>
      </c>
      <c r="Q261" s="60" t="b">
        <v>0</v>
      </c>
      <c r="R261" s="60" t="b">
        <v>0</v>
      </c>
      <c r="S261" s="60" t="b">
        <v>1</v>
      </c>
      <c r="T261" s="60" t="b">
        <v>0</v>
      </c>
      <c r="U261" s="60" t="b">
        <v>0</v>
      </c>
      <c r="V261" s="60" t="b">
        <v>0</v>
      </c>
      <c r="W261" s="60" t="b">
        <v>0</v>
      </c>
    </row>
    <row r="262" spans="1:23" ht="28" x14ac:dyDescent="0.15">
      <c r="A262" s="62" t="s">
        <v>778</v>
      </c>
      <c r="B262" s="62" t="s">
        <v>68</v>
      </c>
      <c r="C262" s="64" t="s">
        <v>631</v>
      </c>
      <c r="D262" s="66" t="s">
        <v>760</v>
      </c>
      <c r="E262" s="64" t="s">
        <v>779</v>
      </c>
      <c r="F262" s="67" t="s">
        <v>780</v>
      </c>
      <c r="G262" s="60" t="s">
        <v>781</v>
      </c>
      <c r="H262" s="60" t="b">
        <v>0</v>
      </c>
      <c r="I262" s="60" t="b">
        <v>0</v>
      </c>
      <c r="J262" s="60" t="b">
        <v>0</v>
      </c>
      <c r="K262" s="60" t="b">
        <v>0</v>
      </c>
      <c r="L262" s="60" t="b">
        <v>0</v>
      </c>
      <c r="M262" s="60" t="b">
        <v>0</v>
      </c>
      <c r="N262" s="60" t="b">
        <v>0</v>
      </c>
      <c r="O262" s="60" t="b">
        <v>0</v>
      </c>
      <c r="P262" s="60" t="b">
        <v>1</v>
      </c>
      <c r="Q262" s="60" t="b">
        <v>1</v>
      </c>
      <c r="R262" s="60" t="b">
        <v>0</v>
      </c>
      <c r="S262" s="60" t="b">
        <v>1</v>
      </c>
      <c r="T262" s="60" t="b">
        <v>1</v>
      </c>
      <c r="U262" s="60" t="b">
        <v>0</v>
      </c>
      <c r="V262" s="60" t="b">
        <v>0</v>
      </c>
      <c r="W262" s="60" t="b">
        <v>0</v>
      </c>
    </row>
    <row r="263" spans="1:23" ht="28" x14ac:dyDescent="0.15">
      <c r="A263" s="62" t="s">
        <v>782</v>
      </c>
      <c r="B263" s="62" t="s">
        <v>68</v>
      </c>
      <c r="C263" s="64" t="s">
        <v>631</v>
      </c>
      <c r="D263" s="66" t="s">
        <v>760</v>
      </c>
      <c r="E263" s="64" t="s">
        <v>779</v>
      </c>
      <c r="F263" s="67" t="s">
        <v>783</v>
      </c>
      <c r="G263" s="60" t="s">
        <v>127</v>
      </c>
      <c r="H263" s="60" t="b">
        <v>0</v>
      </c>
      <c r="I263" s="60" t="b">
        <v>0</v>
      </c>
      <c r="J263" s="60" t="b">
        <v>0</v>
      </c>
      <c r="K263" s="60" t="b">
        <v>0</v>
      </c>
      <c r="L263" s="60" t="b">
        <v>0</v>
      </c>
      <c r="M263" s="60" t="b">
        <v>0</v>
      </c>
      <c r="N263" s="60" t="b">
        <v>0</v>
      </c>
      <c r="O263" s="60" t="b">
        <v>0</v>
      </c>
      <c r="P263" s="60" t="b">
        <v>0</v>
      </c>
      <c r="Q263" s="60" t="b">
        <v>0</v>
      </c>
      <c r="R263" s="60" t="b">
        <v>0</v>
      </c>
      <c r="S263" s="60" t="b">
        <v>0</v>
      </c>
      <c r="T263" s="60" t="b">
        <v>0</v>
      </c>
      <c r="U263" s="60" t="b">
        <v>0</v>
      </c>
      <c r="V263" s="60" t="b">
        <v>0</v>
      </c>
      <c r="W263" s="60" t="b">
        <v>1</v>
      </c>
    </row>
    <row r="264" spans="1:23" ht="28" x14ac:dyDescent="0.15">
      <c r="A264" s="62" t="s">
        <v>784</v>
      </c>
      <c r="B264" s="62" t="s">
        <v>68</v>
      </c>
      <c r="C264" s="64" t="s">
        <v>631</v>
      </c>
      <c r="D264" s="66" t="s">
        <v>760</v>
      </c>
      <c r="E264" s="64" t="s">
        <v>779</v>
      </c>
      <c r="F264" s="67" t="s">
        <v>785</v>
      </c>
      <c r="G264" s="60" t="s">
        <v>786</v>
      </c>
      <c r="H264" s="60" t="b">
        <v>0</v>
      </c>
      <c r="I264" s="60" t="b">
        <v>0</v>
      </c>
      <c r="J264" s="60" t="b">
        <v>0</v>
      </c>
      <c r="K264" s="60" t="b">
        <v>0</v>
      </c>
      <c r="L264" s="60" t="b">
        <v>0</v>
      </c>
      <c r="M264" s="60" t="b">
        <v>0</v>
      </c>
      <c r="N264" s="60" t="b">
        <v>0</v>
      </c>
      <c r="O264" s="60" t="b">
        <v>0</v>
      </c>
      <c r="P264" s="60" t="b">
        <v>0</v>
      </c>
      <c r="Q264" s="60" t="b">
        <v>1</v>
      </c>
      <c r="R264" s="60" t="b">
        <v>0</v>
      </c>
      <c r="S264" s="60" t="b">
        <v>0</v>
      </c>
      <c r="T264" s="60" t="b">
        <v>1</v>
      </c>
      <c r="U264" s="60" t="b">
        <v>0</v>
      </c>
      <c r="V264" s="60" t="b">
        <v>0</v>
      </c>
      <c r="W264" s="60" t="b">
        <v>0</v>
      </c>
    </row>
    <row r="265" spans="1:23" ht="28" x14ac:dyDescent="0.15">
      <c r="A265" s="62" t="s">
        <v>787</v>
      </c>
      <c r="B265" s="62" t="s">
        <v>68</v>
      </c>
      <c r="C265" s="64" t="s">
        <v>631</v>
      </c>
      <c r="D265" s="66" t="s">
        <v>760</v>
      </c>
      <c r="E265" s="64" t="s">
        <v>779</v>
      </c>
      <c r="F265" s="67" t="s">
        <v>788</v>
      </c>
      <c r="G265" s="60" t="s">
        <v>561</v>
      </c>
      <c r="H265" s="60" t="b">
        <v>0</v>
      </c>
      <c r="I265" s="60" t="b">
        <v>0</v>
      </c>
      <c r="J265" s="60" t="b">
        <v>0</v>
      </c>
      <c r="K265" s="60" t="b">
        <v>0</v>
      </c>
      <c r="L265" s="60" t="b">
        <v>0</v>
      </c>
      <c r="M265" s="60" t="b">
        <v>0</v>
      </c>
      <c r="N265" s="60" t="b">
        <v>0</v>
      </c>
      <c r="O265" s="60" t="b">
        <v>0</v>
      </c>
      <c r="P265" s="60" t="b">
        <v>1</v>
      </c>
      <c r="Q265" s="60" t="b">
        <v>0</v>
      </c>
      <c r="R265" s="60" t="b">
        <v>0</v>
      </c>
      <c r="S265" s="60" t="b">
        <v>1</v>
      </c>
      <c r="T265" s="60" t="b">
        <v>0</v>
      </c>
      <c r="U265" s="60" t="b">
        <v>0</v>
      </c>
      <c r="V265" s="60" t="b">
        <v>0</v>
      </c>
      <c r="W265" s="60" t="b">
        <v>0</v>
      </c>
    </row>
    <row r="266" spans="1:23" ht="28" x14ac:dyDescent="0.15">
      <c r="A266" s="62" t="s">
        <v>789</v>
      </c>
      <c r="B266" s="62" t="s">
        <v>68</v>
      </c>
      <c r="C266" s="64" t="s">
        <v>631</v>
      </c>
      <c r="D266" s="66" t="s">
        <v>760</v>
      </c>
      <c r="E266" s="64" t="s">
        <v>779</v>
      </c>
      <c r="F266" s="67" t="s">
        <v>790</v>
      </c>
      <c r="G266" s="60" t="s">
        <v>120</v>
      </c>
      <c r="H266" s="60" t="b">
        <v>0</v>
      </c>
      <c r="I266" s="60" t="b">
        <v>0</v>
      </c>
      <c r="J266" s="60" t="b">
        <v>0</v>
      </c>
      <c r="K266" s="60" t="b">
        <v>0</v>
      </c>
      <c r="L266" s="60" t="b">
        <v>0</v>
      </c>
      <c r="M266" s="60" t="b">
        <v>0</v>
      </c>
      <c r="N266" s="60" t="b">
        <v>0</v>
      </c>
      <c r="O266" s="60" t="b">
        <v>0</v>
      </c>
      <c r="P266" s="60" t="b">
        <v>1</v>
      </c>
      <c r="Q266" s="60" t="b">
        <v>0</v>
      </c>
      <c r="R266" s="60" t="b">
        <v>0</v>
      </c>
      <c r="S266" s="60" t="b">
        <v>0</v>
      </c>
      <c r="T266" s="60" t="b">
        <v>0</v>
      </c>
      <c r="U266" s="60" t="b">
        <v>0</v>
      </c>
      <c r="V266" s="60" t="b">
        <v>0</v>
      </c>
      <c r="W266" s="60" t="b">
        <v>0</v>
      </c>
    </row>
    <row r="267" spans="1:23" ht="84" x14ac:dyDescent="0.15">
      <c r="A267" s="62" t="s">
        <v>791</v>
      </c>
      <c r="B267" s="62" t="s">
        <v>68</v>
      </c>
      <c r="C267" s="64" t="s">
        <v>631</v>
      </c>
      <c r="D267" s="66" t="s">
        <v>760</v>
      </c>
      <c r="E267" s="64" t="s">
        <v>779</v>
      </c>
      <c r="F267" s="67" t="s">
        <v>792</v>
      </c>
      <c r="G267" s="60" t="s">
        <v>793</v>
      </c>
      <c r="H267" s="60" t="b">
        <v>0</v>
      </c>
      <c r="I267" s="60" t="b">
        <v>0</v>
      </c>
      <c r="J267" s="60" t="b">
        <v>0</v>
      </c>
      <c r="K267" s="60" t="b">
        <v>0</v>
      </c>
      <c r="L267" s="60" t="b">
        <v>0</v>
      </c>
      <c r="M267" s="60" t="b">
        <v>0</v>
      </c>
      <c r="N267" s="60" t="b">
        <v>0</v>
      </c>
      <c r="O267" s="60" t="b">
        <v>0</v>
      </c>
      <c r="P267" s="60" t="b">
        <v>1</v>
      </c>
      <c r="Q267" s="60" t="b">
        <v>1</v>
      </c>
      <c r="R267" s="60" t="b">
        <v>1</v>
      </c>
      <c r="S267" s="60" t="b">
        <v>0</v>
      </c>
      <c r="T267" s="60" t="b">
        <v>0</v>
      </c>
      <c r="U267" s="60" t="b">
        <v>0</v>
      </c>
      <c r="V267" s="60" t="b">
        <v>0</v>
      </c>
      <c r="W267" s="60" t="b">
        <v>0</v>
      </c>
    </row>
    <row r="268" spans="1:23" ht="98" x14ac:dyDescent="0.15">
      <c r="A268" s="62" t="s">
        <v>794</v>
      </c>
      <c r="B268" s="62" t="s">
        <v>68</v>
      </c>
      <c r="C268" s="64" t="s">
        <v>631</v>
      </c>
      <c r="D268" s="66" t="s">
        <v>760</v>
      </c>
      <c r="E268" s="64" t="s">
        <v>779</v>
      </c>
      <c r="F268" s="67" t="s">
        <v>795</v>
      </c>
      <c r="G268" s="60" t="s">
        <v>570</v>
      </c>
      <c r="H268" s="60" t="b">
        <v>0</v>
      </c>
      <c r="I268" s="60" t="b">
        <v>0</v>
      </c>
      <c r="J268" s="60" t="b">
        <v>0</v>
      </c>
      <c r="K268" s="60" t="b">
        <v>0</v>
      </c>
      <c r="L268" s="60" t="b">
        <v>0</v>
      </c>
      <c r="M268" s="60" t="b">
        <v>0</v>
      </c>
      <c r="N268" s="60" t="b">
        <v>0</v>
      </c>
      <c r="O268" s="60" t="b">
        <v>0</v>
      </c>
      <c r="P268" s="60" t="b">
        <v>0</v>
      </c>
      <c r="Q268" s="60" t="b">
        <v>0</v>
      </c>
      <c r="R268" s="60" t="b">
        <v>0</v>
      </c>
      <c r="S268" s="60" t="b">
        <v>0</v>
      </c>
      <c r="T268" s="60" t="b">
        <v>0</v>
      </c>
      <c r="U268" s="60" t="b">
        <v>0</v>
      </c>
      <c r="V268" s="60" t="b">
        <v>0</v>
      </c>
      <c r="W268" s="60" t="b">
        <v>0</v>
      </c>
    </row>
    <row r="269" spans="1:23" ht="28" x14ac:dyDescent="0.15">
      <c r="A269" s="62" t="s">
        <v>796</v>
      </c>
      <c r="B269" s="62" t="s">
        <v>68</v>
      </c>
      <c r="C269" s="64" t="s">
        <v>631</v>
      </c>
      <c r="D269" s="66" t="s">
        <v>760</v>
      </c>
      <c r="E269" s="64" t="s">
        <v>779</v>
      </c>
      <c r="F269" s="67" t="s">
        <v>797</v>
      </c>
      <c r="G269" s="60" t="s">
        <v>234</v>
      </c>
      <c r="H269" s="60" t="b">
        <v>0</v>
      </c>
      <c r="I269" s="60" t="b">
        <v>0</v>
      </c>
      <c r="J269" s="60" t="b">
        <v>0</v>
      </c>
      <c r="K269" s="60" t="b">
        <v>0</v>
      </c>
      <c r="L269" s="60" t="b">
        <v>0</v>
      </c>
      <c r="M269" s="60" t="b">
        <v>0</v>
      </c>
      <c r="N269" s="60" t="b">
        <v>0</v>
      </c>
      <c r="O269" s="60" t="b">
        <v>0</v>
      </c>
      <c r="P269" s="60" t="b">
        <v>0</v>
      </c>
      <c r="Q269" s="60" t="b">
        <v>0</v>
      </c>
      <c r="R269" s="60" t="b">
        <v>0</v>
      </c>
      <c r="S269" s="60" t="b">
        <v>0</v>
      </c>
      <c r="T269" s="60" t="b">
        <v>1</v>
      </c>
      <c r="U269" s="60" t="b">
        <v>0</v>
      </c>
      <c r="V269" s="60" t="b">
        <v>0</v>
      </c>
      <c r="W269" s="60" t="b">
        <v>0</v>
      </c>
    </row>
    <row r="270" spans="1:23" ht="28" x14ac:dyDescent="0.15">
      <c r="A270" s="62" t="s">
        <v>798</v>
      </c>
      <c r="B270" s="62" t="s">
        <v>68</v>
      </c>
      <c r="C270" s="64" t="s">
        <v>631</v>
      </c>
      <c r="D270" s="66" t="s">
        <v>760</v>
      </c>
      <c r="E270" s="64" t="s">
        <v>779</v>
      </c>
      <c r="F270" s="67" t="s">
        <v>799</v>
      </c>
      <c r="G270" s="60" t="s">
        <v>124</v>
      </c>
      <c r="H270" s="60" t="b">
        <v>0</v>
      </c>
      <c r="I270" s="60" t="b">
        <v>0</v>
      </c>
      <c r="J270" s="60" t="b">
        <v>0</v>
      </c>
      <c r="K270" s="60" t="b">
        <v>0</v>
      </c>
      <c r="L270" s="60" t="b">
        <v>0</v>
      </c>
      <c r="M270" s="60" t="b">
        <v>0</v>
      </c>
      <c r="N270" s="60" t="b">
        <v>0</v>
      </c>
      <c r="O270" s="60" t="b">
        <v>0</v>
      </c>
      <c r="P270" s="60" t="b">
        <v>0</v>
      </c>
      <c r="Q270" s="60" t="b">
        <v>0</v>
      </c>
      <c r="R270" s="60" t="b">
        <v>0</v>
      </c>
      <c r="S270" s="60" t="b">
        <v>0</v>
      </c>
      <c r="T270" s="60" t="b">
        <v>1</v>
      </c>
      <c r="U270" s="60" t="b">
        <v>0</v>
      </c>
      <c r="V270" s="60" t="b">
        <v>0</v>
      </c>
      <c r="W270" s="60" t="b">
        <v>0</v>
      </c>
    </row>
    <row r="271" spans="1:23" ht="28" x14ac:dyDescent="0.15">
      <c r="A271" s="62" t="s">
        <v>800</v>
      </c>
      <c r="B271" s="62" t="s">
        <v>68</v>
      </c>
      <c r="C271" s="64" t="s">
        <v>631</v>
      </c>
      <c r="D271" s="66" t="s">
        <v>760</v>
      </c>
      <c r="E271" s="64" t="s">
        <v>779</v>
      </c>
      <c r="F271" s="67" t="s">
        <v>801</v>
      </c>
      <c r="G271" s="60" t="s">
        <v>234</v>
      </c>
      <c r="H271" s="60" t="b">
        <v>0</v>
      </c>
      <c r="I271" s="60" t="b">
        <v>0</v>
      </c>
      <c r="J271" s="60" t="b">
        <v>0</v>
      </c>
      <c r="K271" s="60" t="b">
        <v>0</v>
      </c>
      <c r="L271" s="60" t="b">
        <v>0</v>
      </c>
      <c r="M271" s="60" t="b">
        <v>0</v>
      </c>
      <c r="N271" s="60" t="b">
        <v>0</v>
      </c>
      <c r="O271" s="60" t="b">
        <v>0</v>
      </c>
      <c r="P271" s="60" t="b">
        <v>0</v>
      </c>
      <c r="Q271" s="60" t="b">
        <v>0</v>
      </c>
      <c r="R271" s="60" t="b">
        <v>0</v>
      </c>
      <c r="S271" s="60" t="b">
        <v>0</v>
      </c>
      <c r="T271" s="60" t="b">
        <v>1</v>
      </c>
      <c r="U271" s="60" t="b">
        <v>0</v>
      </c>
      <c r="V271" s="60" t="b">
        <v>0</v>
      </c>
      <c r="W271" s="60" t="b">
        <v>0</v>
      </c>
    </row>
    <row r="272" spans="1:23" ht="28" x14ac:dyDescent="0.15">
      <c r="A272" s="62" t="s">
        <v>802</v>
      </c>
      <c r="B272" s="62" t="s">
        <v>68</v>
      </c>
      <c r="C272" s="64" t="s">
        <v>631</v>
      </c>
      <c r="D272" s="66" t="s">
        <v>760</v>
      </c>
      <c r="E272" s="64" t="s">
        <v>779</v>
      </c>
      <c r="F272" s="67" t="s">
        <v>803</v>
      </c>
      <c r="G272" s="60" t="s">
        <v>124</v>
      </c>
      <c r="H272" s="60" t="b">
        <v>0</v>
      </c>
      <c r="I272" s="60" t="b">
        <v>0</v>
      </c>
      <c r="J272" s="60" t="b">
        <v>0</v>
      </c>
      <c r="K272" s="60" t="b">
        <v>0</v>
      </c>
      <c r="L272" s="60" t="b">
        <v>0</v>
      </c>
      <c r="M272" s="60" t="b">
        <v>0</v>
      </c>
      <c r="N272" s="60" t="b">
        <v>0</v>
      </c>
      <c r="O272" s="60" t="b">
        <v>0</v>
      </c>
      <c r="P272" s="60" t="b">
        <v>0</v>
      </c>
      <c r="Q272" s="60" t="b">
        <v>0</v>
      </c>
      <c r="R272" s="60" t="b">
        <v>0</v>
      </c>
      <c r="S272" s="60" t="b">
        <v>0</v>
      </c>
      <c r="T272" s="60" t="b">
        <v>1</v>
      </c>
      <c r="U272" s="60" t="b">
        <v>0</v>
      </c>
      <c r="V272" s="60" t="b">
        <v>0</v>
      </c>
      <c r="W272" s="60" t="b">
        <v>0</v>
      </c>
    </row>
    <row r="273" spans="1:23" ht="28" x14ac:dyDescent="0.15">
      <c r="A273" s="62" t="s">
        <v>804</v>
      </c>
      <c r="B273" s="62" t="s">
        <v>68</v>
      </c>
      <c r="C273" s="64" t="s">
        <v>631</v>
      </c>
      <c r="D273" s="66" t="s">
        <v>760</v>
      </c>
      <c r="E273" s="64" t="s">
        <v>779</v>
      </c>
      <c r="F273" s="67" t="s">
        <v>805</v>
      </c>
      <c r="G273" s="60" t="s">
        <v>121</v>
      </c>
      <c r="H273" s="60" t="b">
        <v>0</v>
      </c>
      <c r="I273" s="60" t="b">
        <v>0</v>
      </c>
      <c r="J273" s="60" t="b">
        <v>0</v>
      </c>
      <c r="K273" s="60" t="b">
        <v>0</v>
      </c>
      <c r="L273" s="60" t="b">
        <v>0</v>
      </c>
      <c r="M273" s="60" t="b">
        <v>0</v>
      </c>
      <c r="N273" s="60" t="b">
        <v>0</v>
      </c>
      <c r="O273" s="60" t="b">
        <v>0</v>
      </c>
      <c r="P273" s="60" t="b">
        <v>0</v>
      </c>
      <c r="Q273" s="60" t="b">
        <v>1</v>
      </c>
      <c r="R273" s="60" t="b">
        <v>0</v>
      </c>
      <c r="S273" s="60" t="b">
        <v>0</v>
      </c>
      <c r="T273" s="60" t="b">
        <v>0</v>
      </c>
      <c r="U273" s="60" t="b">
        <v>0</v>
      </c>
      <c r="V273" s="60" t="b">
        <v>0</v>
      </c>
      <c r="W273" s="60" t="b">
        <v>0</v>
      </c>
    </row>
    <row r="274" spans="1:23" ht="84" x14ac:dyDescent="0.15">
      <c r="A274" s="62" t="s">
        <v>806</v>
      </c>
      <c r="B274" s="62" t="s">
        <v>68</v>
      </c>
      <c r="C274" s="64" t="s">
        <v>631</v>
      </c>
      <c r="D274" s="66" t="s">
        <v>760</v>
      </c>
      <c r="E274" s="64" t="s">
        <v>779</v>
      </c>
      <c r="F274" s="67" t="s">
        <v>807</v>
      </c>
      <c r="G274" s="60" t="s">
        <v>124</v>
      </c>
      <c r="H274" s="60" t="b">
        <v>0</v>
      </c>
      <c r="I274" s="60" t="b">
        <v>0</v>
      </c>
      <c r="J274" s="60" t="b">
        <v>0</v>
      </c>
      <c r="K274" s="60" t="b">
        <v>0</v>
      </c>
      <c r="L274" s="60" t="b">
        <v>0</v>
      </c>
      <c r="M274" s="60" t="b">
        <v>0</v>
      </c>
      <c r="N274" s="60" t="b">
        <v>0</v>
      </c>
      <c r="O274" s="60" t="b">
        <v>0</v>
      </c>
      <c r="P274" s="60" t="b">
        <v>0</v>
      </c>
      <c r="Q274" s="60" t="b">
        <v>0</v>
      </c>
      <c r="R274" s="60" t="b">
        <v>0</v>
      </c>
      <c r="S274" s="60" t="b">
        <v>0</v>
      </c>
      <c r="T274" s="60" t="b">
        <v>1</v>
      </c>
      <c r="U274" s="60" t="b">
        <v>0</v>
      </c>
      <c r="V274" s="60" t="b">
        <v>0</v>
      </c>
      <c r="W274" s="60" t="b">
        <v>0</v>
      </c>
    </row>
    <row r="275" spans="1:23" ht="28" x14ac:dyDescent="0.15">
      <c r="A275" s="62" t="s">
        <v>808</v>
      </c>
      <c r="B275" s="62" t="s">
        <v>68</v>
      </c>
      <c r="C275" s="64" t="s">
        <v>631</v>
      </c>
      <c r="D275" s="66" t="s">
        <v>760</v>
      </c>
      <c r="E275" s="64" t="s">
        <v>779</v>
      </c>
      <c r="F275" s="67" t="s">
        <v>809</v>
      </c>
      <c r="G275" s="60" t="s">
        <v>122</v>
      </c>
      <c r="H275" s="60" t="b">
        <v>0</v>
      </c>
      <c r="I275" s="60" t="b">
        <v>0</v>
      </c>
      <c r="J275" s="60" t="b">
        <v>0</v>
      </c>
      <c r="K275" s="60" t="b">
        <v>0</v>
      </c>
      <c r="L275" s="60" t="b">
        <v>0</v>
      </c>
      <c r="M275" s="60" t="b">
        <v>0</v>
      </c>
      <c r="N275" s="60" t="b">
        <v>0</v>
      </c>
      <c r="O275" s="60" t="b">
        <v>0</v>
      </c>
      <c r="P275" s="60" t="b">
        <v>0</v>
      </c>
      <c r="Q275" s="60" t="b">
        <v>0</v>
      </c>
      <c r="R275" s="60" t="b">
        <v>1</v>
      </c>
      <c r="S275" s="60" t="b">
        <v>0</v>
      </c>
      <c r="T275" s="60" t="b">
        <v>0</v>
      </c>
      <c r="U275" s="60" t="b">
        <v>0</v>
      </c>
      <c r="V275" s="60" t="b">
        <v>0</v>
      </c>
      <c r="W275" s="60" t="b">
        <v>0</v>
      </c>
    </row>
    <row r="276" spans="1:23" ht="28" x14ac:dyDescent="0.15">
      <c r="A276" s="62" t="s">
        <v>810</v>
      </c>
      <c r="B276" s="62" t="s">
        <v>68</v>
      </c>
      <c r="C276" s="64" t="s">
        <v>631</v>
      </c>
      <c r="D276" s="66" t="s">
        <v>760</v>
      </c>
      <c r="E276" s="64" t="s">
        <v>779</v>
      </c>
      <c r="F276" s="67" t="s">
        <v>811</v>
      </c>
      <c r="G276" s="60" t="s">
        <v>201</v>
      </c>
      <c r="H276" s="60" t="b">
        <v>0</v>
      </c>
      <c r="I276" s="60" t="b">
        <v>0</v>
      </c>
      <c r="J276" s="60" t="b">
        <v>0</v>
      </c>
      <c r="K276" s="60" t="b">
        <v>0</v>
      </c>
      <c r="L276" s="60" t="b">
        <v>0</v>
      </c>
      <c r="M276" s="60" t="b">
        <v>0</v>
      </c>
      <c r="N276" s="60" t="b">
        <v>0</v>
      </c>
      <c r="O276" s="60" t="b">
        <v>0</v>
      </c>
      <c r="P276" s="60" t="b">
        <v>0</v>
      </c>
      <c r="Q276" s="60" t="b">
        <v>0</v>
      </c>
      <c r="R276" s="60" t="b">
        <v>0</v>
      </c>
      <c r="S276" s="60" t="b">
        <v>0</v>
      </c>
      <c r="T276" s="60" t="b">
        <v>0</v>
      </c>
      <c r="U276" s="60" t="b">
        <v>0</v>
      </c>
      <c r="V276" s="60" t="b">
        <v>0</v>
      </c>
      <c r="W276" s="60" t="b">
        <v>0</v>
      </c>
    </row>
    <row r="277" spans="1:23" ht="28" x14ac:dyDescent="0.15">
      <c r="A277" s="62" t="s">
        <v>812</v>
      </c>
      <c r="B277" s="62" t="s">
        <v>68</v>
      </c>
      <c r="C277" s="64" t="s">
        <v>631</v>
      </c>
      <c r="D277" s="66" t="s">
        <v>760</v>
      </c>
      <c r="E277" s="64" t="s">
        <v>779</v>
      </c>
      <c r="F277" s="67" t="s">
        <v>813</v>
      </c>
      <c r="G277" s="60" t="s">
        <v>814</v>
      </c>
      <c r="H277" s="60" t="b">
        <v>0</v>
      </c>
      <c r="I277" s="60" t="b">
        <v>0</v>
      </c>
      <c r="J277" s="60" t="b">
        <v>0</v>
      </c>
      <c r="K277" s="60" t="b">
        <v>0</v>
      </c>
      <c r="L277" s="60" t="b">
        <v>0</v>
      </c>
      <c r="M277" s="60" t="b">
        <v>0</v>
      </c>
      <c r="N277" s="60" t="b">
        <v>0</v>
      </c>
      <c r="O277" s="60" t="b">
        <v>0</v>
      </c>
      <c r="P277" s="60" t="b">
        <v>1</v>
      </c>
      <c r="Q277" s="60" t="b">
        <v>0</v>
      </c>
      <c r="R277" s="60" t="b">
        <v>0</v>
      </c>
      <c r="S277" s="60" t="b">
        <v>0</v>
      </c>
      <c r="T277" s="60" t="b">
        <v>0</v>
      </c>
      <c r="U277" s="60" t="b">
        <v>0</v>
      </c>
      <c r="V277" s="60" t="b">
        <v>0</v>
      </c>
      <c r="W277" s="60" t="b">
        <v>0</v>
      </c>
    </row>
    <row r="278" spans="1:23" ht="42" x14ac:dyDescent="0.15">
      <c r="A278" s="62" t="s">
        <v>815</v>
      </c>
      <c r="B278" s="62" t="s">
        <v>68</v>
      </c>
      <c r="C278" s="64" t="s">
        <v>631</v>
      </c>
      <c r="D278" s="66" t="s">
        <v>760</v>
      </c>
      <c r="E278" s="64" t="s">
        <v>779</v>
      </c>
      <c r="F278" s="67" t="s">
        <v>816</v>
      </c>
      <c r="G278" s="60" t="s">
        <v>201</v>
      </c>
      <c r="H278" s="60" t="b">
        <v>0</v>
      </c>
      <c r="I278" s="60" t="b">
        <v>0</v>
      </c>
      <c r="J278" s="60" t="b">
        <v>0</v>
      </c>
      <c r="K278" s="60" t="b">
        <v>0</v>
      </c>
      <c r="L278" s="60" t="b">
        <v>0</v>
      </c>
      <c r="M278" s="60" t="b">
        <v>0</v>
      </c>
      <c r="N278" s="60" t="b">
        <v>0</v>
      </c>
      <c r="O278" s="60" t="b">
        <v>0</v>
      </c>
      <c r="P278" s="60" t="b">
        <v>0</v>
      </c>
      <c r="Q278" s="60" t="b">
        <v>0</v>
      </c>
      <c r="R278" s="60" t="b">
        <v>0</v>
      </c>
      <c r="S278" s="60" t="b">
        <v>0</v>
      </c>
      <c r="T278" s="60" t="b">
        <v>0</v>
      </c>
      <c r="U278" s="60" t="b">
        <v>0</v>
      </c>
      <c r="V278" s="60" t="b">
        <v>0</v>
      </c>
      <c r="W278" s="60" t="b">
        <v>0</v>
      </c>
    </row>
    <row r="279" spans="1:23" ht="28" x14ac:dyDescent="0.15">
      <c r="A279" s="62" t="s">
        <v>817</v>
      </c>
      <c r="B279" s="62" t="s">
        <v>68</v>
      </c>
      <c r="C279" s="64" t="s">
        <v>631</v>
      </c>
      <c r="D279" s="66" t="s">
        <v>760</v>
      </c>
      <c r="E279" s="64" t="s">
        <v>779</v>
      </c>
      <c r="F279" s="67" t="s">
        <v>818</v>
      </c>
      <c r="G279" s="60" t="s">
        <v>123</v>
      </c>
      <c r="H279" s="60" t="b">
        <v>0</v>
      </c>
      <c r="I279" s="60" t="b">
        <v>0</v>
      </c>
      <c r="J279" s="60" t="b">
        <v>0</v>
      </c>
      <c r="K279" s="60" t="b">
        <v>0</v>
      </c>
      <c r="L279" s="60" t="b">
        <v>0</v>
      </c>
      <c r="M279" s="60" t="b">
        <v>0</v>
      </c>
      <c r="N279" s="60" t="b">
        <v>0</v>
      </c>
      <c r="O279" s="60" t="b">
        <v>0</v>
      </c>
      <c r="P279" s="60" t="b">
        <v>0</v>
      </c>
      <c r="Q279" s="60" t="b">
        <v>0</v>
      </c>
      <c r="R279" s="60" t="b">
        <v>0</v>
      </c>
      <c r="S279" s="60" t="b">
        <v>1</v>
      </c>
      <c r="T279" s="60" t="b">
        <v>0</v>
      </c>
      <c r="U279" s="60" t="b">
        <v>0</v>
      </c>
      <c r="V279" s="60" t="b">
        <v>0</v>
      </c>
      <c r="W279" s="60" t="b">
        <v>0</v>
      </c>
    </row>
    <row r="280" spans="1:23" ht="28" x14ac:dyDescent="0.15">
      <c r="A280" s="62" t="s">
        <v>819</v>
      </c>
      <c r="B280" s="62" t="s">
        <v>68</v>
      </c>
      <c r="C280" s="64" t="s">
        <v>631</v>
      </c>
      <c r="D280" s="66" t="s">
        <v>760</v>
      </c>
      <c r="E280" s="64" t="s">
        <v>779</v>
      </c>
      <c r="F280" s="67" t="s">
        <v>820</v>
      </c>
      <c r="G280" s="60" t="s">
        <v>201</v>
      </c>
      <c r="H280" s="60" t="b">
        <v>0</v>
      </c>
      <c r="I280" s="60" t="b">
        <v>0</v>
      </c>
      <c r="J280" s="60" t="b">
        <v>0</v>
      </c>
      <c r="K280" s="60" t="b">
        <v>0</v>
      </c>
      <c r="L280" s="60" t="b">
        <v>0</v>
      </c>
      <c r="M280" s="60" t="b">
        <v>0</v>
      </c>
      <c r="N280" s="60" t="b">
        <v>0</v>
      </c>
      <c r="O280" s="60" t="b">
        <v>0</v>
      </c>
      <c r="P280" s="60" t="b">
        <v>0</v>
      </c>
      <c r="Q280" s="60" t="b">
        <v>0</v>
      </c>
      <c r="R280" s="60" t="b">
        <v>0</v>
      </c>
      <c r="S280" s="60" t="b">
        <v>0</v>
      </c>
      <c r="T280" s="60" t="b">
        <v>0</v>
      </c>
      <c r="U280" s="60" t="b">
        <v>0</v>
      </c>
      <c r="V280" s="60" t="b">
        <v>0</v>
      </c>
      <c r="W280" s="60" t="b">
        <v>0</v>
      </c>
    </row>
    <row r="281" spans="1:23" ht="28" x14ac:dyDescent="0.15">
      <c r="A281" s="62" t="s">
        <v>821</v>
      </c>
      <c r="B281" s="62" t="s">
        <v>68</v>
      </c>
      <c r="C281" s="64" t="s">
        <v>631</v>
      </c>
      <c r="D281" s="66" t="s">
        <v>760</v>
      </c>
      <c r="E281" s="64" t="s">
        <v>779</v>
      </c>
      <c r="F281" s="67" t="s">
        <v>822</v>
      </c>
      <c r="G281" s="60" t="s">
        <v>201</v>
      </c>
      <c r="H281" s="60" t="b">
        <v>0</v>
      </c>
      <c r="I281" s="60" t="b">
        <v>0</v>
      </c>
      <c r="J281" s="60" t="b">
        <v>0</v>
      </c>
      <c r="K281" s="60" t="b">
        <v>0</v>
      </c>
      <c r="L281" s="60" t="b">
        <v>0</v>
      </c>
      <c r="M281" s="60" t="b">
        <v>0</v>
      </c>
      <c r="N281" s="60" t="b">
        <v>0</v>
      </c>
      <c r="O281" s="60" t="b">
        <v>0</v>
      </c>
      <c r="P281" s="60" t="b">
        <v>0</v>
      </c>
      <c r="Q281" s="60" t="b">
        <v>0</v>
      </c>
      <c r="R281" s="60" t="b">
        <v>0</v>
      </c>
      <c r="S281" s="60" t="b">
        <v>0</v>
      </c>
      <c r="T281" s="60" t="b">
        <v>0</v>
      </c>
      <c r="U281" s="60" t="b">
        <v>0</v>
      </c>
      <c r="V281" s="60" t="b">
        <v>0</v>
      </c>
      <c r="W281" s="60" t="b">
        <v>0</v>
      </c>
    </row>
    <row r="282" spans="1:23" ht="42" x14ac:dyDescent="0.15">
      <c r="A282" s="62" t="s">
        <v>823</v>
      </c>
      <c r="B282" s="62" t="s">
        <v>68</v>
      </c>
      <c r="C282" s="64" t="s">
        <v>631</v>
      </c>
      <c r="D282" s="66" t="s">
        <v>760</v>
      </c>
      <c r="E282" s="64" t="s">
        <v>824</v>
      </c>
      <c r="F282" s="67" t="s">
        <v>825</v>
      </c>
      <c r="G282" s="60" t="s">
        <v>201</v>
      </c>
      <c r="H282" s="60" t="b">
        <v>0</v>
      </c>
      <c r="I282" s="60" t="b">
        <v>0</v>
      </c>
      <c r="J282" s="60" t="b">
        <v>0</v>
      </c>
      <c r="K282" s="60" t="b">
        <v>0</v>
      </c>
      <c r="L282" s="60" t="b">
        <v>0</v>
      </c>
      <c r="M282" s="60" t="b">
        <v>0</v>
      </c>
      <c r="N282" s="60" t="b">
        <v>0</v>
      </c>
      <c r="O282" s="60" t="b">
        <v>0</v>
      </c>
      <c r="P282" s="60" t="b">
        <v>0</v>
      </c>
      <c r="Q282" s="60" t="b">
        <v>0</v>
      </c>
      <c r="R282" s="60" t="b">
        <v>0</v>
      </c>
      <c r="S282" s="60" t="b">
        <v>0</v>
      </c>
      <c r="T282" s="60" t="b">
        <v>0</v>
      </c>
      <c r="U282" s="60" t="b">
        <v>0</v>
      </c>
      <c r="V282" s="60" t="b">
        <v>0</v>
      </c>
      <c r="W282" s="60" t="b">
        <v>0</v>
      </c>
    </row>
    <row r="283" spans="1:23" ht="42" x14ac:dyDescent="0.15">
      <c r="A283" s="62" t="s">
        <v>826</v>
      </c>
      <c r="B283" s="62" t="s">
        <v>68</v>
      </c>
      <c r="C283" s="64" t="s">
        <v>631</v>
      </c>
      <c r="D283" s="66" t="s">
        <v>760</v>
      </c>
      <c r="E283" s="64" t="s">
        <v>824</v>
      </c>
      <c r="F283" s="67" t="s">
        <v>827</v>
      </c>
      <c r="G283" s="60" t="s">
        <v>123</v>
      </c>
      <c r="H283" s="60" t="b">
        <v>0</v>
      </c>
      <c r="I283" s="60" t="b">
        <v>0</v>
      </c>
      <c r="J283" s="60" t="b">
        <v>0</v>
      </c>
      <c r="K283" s="60" t="b">
        <v>0</v>
      </c>
      <c r="L283" s="60" t="b">
        <v>0</v>
      </c>
      <c r="M283" s="60" t="b">
        <v>0</v>
      </c>
      <c r="N283" s="60" t="b">
        <v>0</v>
      </c>
      <c r="O283" s="60" t="b">
        <v>0</v>
      </c>
      <c r="P283" s="60" t="b">
        <v>0</v>
      </c>
      <c r="Q283" s="60" t="b">
        <v>0</v>
      </c>
      <c r="R283" s="60" t="b">
        <v>0</v>
      </c>
      <c r="S283" s="60" t="b">
        <v>1</v>
      </c>
      <c r="T283" s="60" t="b">
        <v>0</v>
      </c>
      <c r="U283" s="60" t="b">
        <v>0</v>
      </c>
      <c r="V283" s="60" t="b">
        <v>0</v>
      </c>
      <c r="W283" s="60" t="b">
        <v>0</v>
      </c>
    </row>
    <row r="284" spans="1:23" ht="28" x14ac:dyDescent="0.15">
      <c r="A284" s="62" t="s">
        <v>828</v>
      </c>
      <c r="B284" s="62" t="s">
        <v>68</v>
      </c>
      <c r="C284" s="64" t="s">
        <v>631</v>
      </c>
      <c r="D284" s="66" t="s">
        <v>760</v>
      </c>
      <c r="E284" s="64" t="s">
        <v>824</v>
      </c>
      <c r="F284" s="67" t="s">
        <v>829</v>
      </c>
      <c r="G284" s="60" t="s">
        <v>123</v>
      </c>
      <c r="H284" s="60" t="b">
        <v>0</v>
      </c>
      <c r="I284" s="60" t="b">
        <v>0</v>
      </c>
      <c r="J284" s="60" t="b">
        <v>0</v>
      </c>
      <c r="K284" s="60" t="b">
        <v>0</v>
      </c>
      <c r="L284" s="60" t="b">
        <v>0</v>
      </c>
      <c r="M284" s="60" t="b">
        <v>0</v>
      </c>
      <c r="N284" s="60" t="b">
        <v>0</v>
      </c>
      <c r="O284" s="60" t="b">
        <v>0</v>
      </c>
      <c r="P284" s="60" t="b">
        <v>0</v>
      </c>
      <c r="Q284" s="60" t="b">
        <v>0</v>
      </c>
      <c r="R284" s="60" t="b">
        <v>0</v>
      </c>
      <c r="S284" s="60" t="b">
        <v>1</v>
      </c>
      <c r="T284" s="60" t="b">
        <v>0</v>
      </c>
      <c r="U284" s="60" t="b">
        <v>0</v>
      </c>
      <c r="V284" s="60" t="b">
        <v>0</v>
      </c>
      <c r="W284" s="60" t="b">
        <v>0</v>
      </c>
    </row>
    <row r="285" spans="1:23" ht="28" x14ac:dyDescent="0.15">
      <c r="A285" s="62" t="s">
        <v>830</v>
      </c>
      <c r="B285" s="62" t="s">
        <v>68</v>
      </c>
      <c r="C285" s="64" t="s">
        <v>631</v>
      </c>
      <c r="D285" s="66" t="s">
        <v>760</v>
      </c>
      <c r="E285" s="64" t="s">
        <v>824</v>
      </c>
      <c r="F285" s="67" t="s">
        <v>831</v>
      </c>
      <c r="G285" s="60" t="s">
        <v>201</v>
      </c>
      <c r="H285" s="60" t="b">
        <v>0</v>
      </c>
      <c r="I285" s="60" t="b">
        <v>0</v>
      </c>
      <c r="J285" s="60" t="b">
        <v>0</v>
      </c>
      <c r="K285" s="60" t="b">
        <v>0</v>
      </c>
      <c r="L285" s="60" t="b">
        <v>0</v>
      </c>
      <c r="M285" s="60" t="b">
        <v>0</v>
      </c>
      <c r="N285" s="60" t="b">
        <v>0</v>
      </c>
      <c r="O285" s="60" t="b">
        <v>0</v>
      </c>
      <c r="P285" s="60" t="b">
        <v>0</v>
      </c>
      <c r="Q285" s="60" t="b">
        <v>0</v>
      </c>
      <c r="R285" s="60" t="b">
        <v>0</v>
      </c>
      <c r="S285" s="60" t="b">
        <v>0</v>
      </c>
      <c r="T285" s="60" t="b">
        <v>0</v>
      </c>
      <c r="U285" s="60" t="b">
        <v>0</v>
      </c>
      <c r="V285" s="60" t="b">
        <v>0</v>
      </c>
      <c r="W285" s="60" t="b">
        <v>0</v>
      </c>
    </row>
    <row r="286" spans="1:23" ht="28" x14ac:dyDescent="0.15">
      <c r="A286" s="62" t="s">
        <v>832</v>
      </c>
      <c r="B286" s="62" t="s">
        <v>68</v>
      </c>
      <c r="C286" s="64" t="s">
        <v>631</v>
      </c>
      <c r="D286" s="66" t="s">
        <v>760</v>
      </c>
      <c r="E286" s="64" t="s">
        <v>824</v>
      </c>
      <c r="F286" s="67" t="s">
        <v>833</v>
      </c>
      <c r="G286" s="60" t="s">
        <v>201</v>
      </c>
      <c r="H286" s="60" t="b">
        <v>0</v>
      </c>
      <c r="I286" s="60" t="b">
        <v>0</v>
      </c>
      <c r="J286" s="60" t="b">
        <v>0</v>
      </c>
      <c r="K286" s="60" t="b">
        <v>0</v>
      </c>
      <c r="L286" s="60" t="b">
        <v>0</v>
      </c>
      <c r="M286" s="60" t="b">
        <v>0</v>
      </c>
      <c r="N286" s="60" t="b">
        <v>0</v>
      </c>
      <c r="O286" s="60" t="b">
        <v>0</v>
      </c>
      <c r="P286" s="60" t="b">
        <v>0</v>
      </c>
      <c r="Q286" s="60" t="b">
        <v>0</v>
      </c>
      <c r="R286" s="60" t="b">
        <v>0</v>
      </c>
      <c r="S286" s="60" t="b">
        <v>0</v>
      </c>
      <c r="T286" s="60" t="b">
        <v>0</v>
      </c>
      <c r="U286" s="60" t="b">
        <v>0</v>
      </c>
      <c r="V286" s="60" t="b">
        <v>0</v>
      </c>
      <c r="W286" s="60" t="b">
        <v>0</v>
      </c>
    </row>
    <row r="287" spans="1:23" ht="42" x14ac:dyDescent="0.15">
      <c r="A287" s="62" t="s">
        <v>834</v>
      </c>
      <c r="B287" s="62" t="s">
        <v>68</v>
      </c>
      <c r="C287" s="64" t="s">
        <v>631</v>
      </c>
      <c r="D287" s="66" t="s">
        <v>760</v>
      </c>
      <c r="E287" s="64" t="s">
        <v>824</v>
      </c>
      <c r="F287" s="67" t="s">
        <v>835</v>
      </c>
      <c r="G287" s="60" t="s">
        <v>201</v>
      </c>
      <c r="H287" s="60" t="b">
        <v>0</v>
      </c>
      <c r="I287" s="60" t="b">
        <v>0</v>
      </c>
      <c r="J287" s="60" t="b">
        <v>0</v>
      </c>
      <c r="K287" s="60" t="b">
        <v>0</v>
      </c>
      <c r="L287" s="60" t="b">
        <v>0</v>
      </c>
      <c r="M287" s="60" t="b">
        <v>0</v>
      </c>
      <c r="N287" s="60" t="b">
        <v>0</v>
      </c>
      <c r="O287" s="60" t="b">
        <v>0</v>
      </c>
      <c r="P287" s="60" t="b">
        <v>0</v>
      </c>
      <c r="Q287" s="60" t="b">
        <v>0</v>
      </c>
      <c r="R287" s="60" t="b">
        <v>0</v>
      </c>
      <c r="S287" s="60" t="b">
        <v>0</v>
      </c>
      <c r="T287" s="60" t="b">
        <v>0</v>
      </c>
      <c r="U287" s="60" t="b">
        <v>0</v>
      </c>
      <c r="V287" s="60" t="b">
        <v>0</v>
      </c>
      <c r="W287" s="60" t="b">
        <v>0</v>
      </c>
    </row>
    <row r="288" spans="1:23" ht="28" x14ac:dyDescent="0.15">
      <c r="A288" s="62" t="s">
        <v>836</v>
      </c>
      <c r="B288" s="62" t="s">
        <v>68</v>
      </c>
      <c r="C288" s="64" t="s">
        <v>631</v>
      </c>
      <c r="D288" s="66" t="s">
        <v>760</v>
      </c>
      <c r="E288" s="64" t="s">
        <v>824</v>
      </c>
      <c r="F288" s="67" t="s">
        <v>837</v>
      </c>
      <c r="G288" s="60" t="s">
        <v>201</v>
      </c>
      <c r="H288" s="60" t="b">
        <v>0</v>
      </c>
      <c r="I288" s="60" t="b">
        <v>0</v>
      </c>
      <c r="J288" s="60" t="b">
        <v>0</v>
      </c>
      <c r="K288" s="60" t="b">
        <v>0</v>
      </c>
      <c r="L288" s="60" t="b">
        <v>0</v>
      </c>
      <c r="M288" s="60" t="b">
        <v>0</v>
      </c>
      <c r="N288" s="60" t="b">
        <v>0</v>
      </c>
      <c r="O288" s="60" t="b">
        <v>0</v>
      </c>
      <c r="P288" s="60" t="b">
        <v>0</v>
      </c>
      <c r="Q288" s="60" t="b">
        <v>0</v>
      </c>
      <c r="R288" s="60" t="b">
        <v>0</v>
      </c>
      <c r="S288" s="60" t="b">
        <v>0</v>
      </c>
      <c r="T288" s="60" t="b">
        <v>0</v>
      </c>
      <c r="U288" s="60" t="b">
        <v>0</v>
      </c>
      <c r="V288" s="60" t="b">
        <v>0</v>
      </c>
      <c r="W288" s="60" t="b">
        <v>0</v>
      </c>
    </row>
    <row r="289" spans="1:23" ht="42" x14ac:dyDescent="0.15">
      <c r="A289" s="62" t="s">
        <v>838</v>
      </c>
      <c r="B289" s="62" t="s">
        <v>68</v>
      </c>
      <c r="C289" s="64" t="s">
        <v>631</v>
      </c>
      <c r="D289" s="66" t="s">
        <v>760</v>
      </c>
      <c r="E289" s="64" t="s">
        <v>839</v>
      </c>
      <c r="F289" s="67" t="s">
        <v>840</v>
      </c>
      <c r="G289" s="60" t="s">
        <v>201</v>
      </c>
      <c r="H289" s="60" t="b">
        <v>0</v>
      </c>
      <c r="I289" s="60" t="b">
        <v>0</v>
      </c>
      <c r="J289" s="60" t="b">
        <v>0</v>
      </c>
      <c r="K289" s="60" t="b">
        <v>0</v>
      </c>
      <c r="L289" s="60" t="b">
        <v>0</v>
      </c>
      <c r="M289" s="60" t="b">
        <v>0</v>
      </c>
      <c r="N289" s="60" t="b">
        <v>0</v>
      </c>
      <c r="O289" s="60" t="b">
        <v>0</v>
      </c>
      <c r="P289" s="60" t="b">
        <v>0</v>
      </c>
      <c r="Q289" s="60" t="b">
        <v>0</v>
      </c>
      <c r="R289" s="60" t="b">
        <v>0</v>
      </c>
      <c r="S289" s="60" t="b">
        <v>0</v>
      </c>
      <c r="T289" s="60" t="b">
        <v>0</v>
      </c>
      <c r="U289" s="60" t="b">
        <v>0</v>
      </c>
      <c r="V289" s="60" t="b">
        <v>0</v>
      </c>
      <c r="W289" s="60" t="b">
        <v>0</v>
      </c>
    </row>
    <row r="290" spans="1:23" ht="42" x14ac:dyDescent="0.15">
      <c r="A290" s="62" t="s">
        <v>841</v>
      </c>
      <c r="B290" s="62" t="s">
        <v>68</v>
      </c>
      <c r="C290" s="64" t="s">
        <v>631</v>
      </c>
      <c r="D290" s="66" t="s">
        <v>760</v>
      </c>
      <c r="E290" s="64" t="s">
        <v>839</v>
      </c>
      <c r="F290" s="67" t="s">
        <v>842</v>
      </c>
      <c r="G290" s="60"/>
      <c r="H290" s="60" t="b">
        <v>0</v>
      </c>
      <c r="I290" s="60" t="b">
        <v>0</v>
      </c>
      <c r="J290" s="60" t="b">
        <v>0</v>
      </c>
      <c r="K290" s="60" t="b">
        <v>0</v>
      </c>
      <c r="L290" s="60" t="b">
        <v>0</v>
      </c>
      <c r="M290" s="60" t="b">
        <v>0</v>
      </c>
      <c r="N290" s="60" t="b">
        <v>0</v>
      </c>
      <c r="O290" s="60" t="b">
        <v>0</v>
      </c>
      <c r="P290" s="60" t="b">
        <v>0</v>
      </c>
      <c r="Q290" s="60" t="b">
        <v>0</v>
      </c>
      <c r="R290" s="60" t="b">
        <v>0</v>
      </c>
      <c r="S290" s="60" t="b">
        <v>0</v>
      </c>
      <c r="T290" s="60" t="b">
        <v>0</v>
      </c>
      <c r="U290" s="60" t="b">
        <v>0</v>
      </c>
      <c r="V290" s="60" t="b">
        <v>0</v>
      </c>
      <c r="W290" s="60" t="b">
        <v>0</v>
      </c>
    </row>
    <row r="291" spans="1:23" ht="28" x14ac:dyDescent="0.15">
      <c r="A291" s="62" t="s">
        <v>843</v>
      </c>
      <c r="B291" s="62" t="s">
        <v>68</v>
      </c>
      <c r="C291" s="64" t="s">
        <v>631</v>
      </c>
      <c r="D291" s="66" t="s">
        <v>760</v>
      </c>
      <c r="E291" s="64" t="s">
        <v>839</v>
      </c>
      <c r="F291" s="67" t="s">
        <v>844</v>
      </c>
      <c r="G291" s="60" t="s">
        <v>201</v>
      </c>
      <c r="H291" s="60" t="b">
        <v>0</v>
      </c>
      <c r="I291" s="60" t="b">
        <v>0</v>
      </c>
      <c r="J291" s="60" t="b">
        <v>0</v>
      </c>
      <c r="K291" s="60" t="b">
        <v>0</v>
      </c>
      <c r="L291" s="60" t="b">
        <v>0</v>
      </c>
      <c r="M291" s="60" t="b">
        <v>0</v>
      </c>
      <c r="N291" s="60" t="b">
        <v>0</v>
      </c>
      <c r="O291" s="60" t="b">
        <v>0</v>
      </c>
      <c r="P291" s="60" t="b">
        <v>0</v>
      </c>
      <c r="Q291" s="60" t="b">
        <v>0</v>
      </c>
      <c r="R291" s="60" t="b">
        <v>0</v>
      </c>
      <c r="S291" s="60" t="b">
        <v>0</v>
      </c>
      <c r="T291" s="60" t="b">
        <v>0</v>
      </c>
      <c r="U291" s="60" t="b">
        <v>0</v>
      </c>
      <c r="V291" s="60" t="b">
        <v>0</v>
      </c>
      <c r="W291" s="60" t="b">
        <v>0</v>
      </c>
    </row>
    <row r="292" spans="1:23" ht="42" x14ac:dyDescent="0.15">
      <c r="A292" s="62" t="s">
        <v>845</v>
      </c>
      <c r="B292" s="62" t="s">
        <v>68</v>
      </c>
      <c r="C292" s="64" t="s">
        <v>631</v>
      </c>
      <c r="D292" s="66" t="s">
        <v>760</v>
      </c>
      <c r="E292" s="64" t="s">
        <v>839</v>
      </c>
      <c r="F292" s="67" t="s">
        <v>846</v>
      </c>
      <c r="G292" s="60" t="s">
        <v>201</v>
      </c>
      <c r="H292" s="60" t="b">
        <v>0</v>
      </c>
      <c r="I292" s="60" t="b">
        <v>0</v>
      </c>
      <c r="J292" s="60" t="b">
        <v>0</v>
      </c>
      <c r="K292" s="60" t="b">
        <v>0</v>
      </c>
      <c r="L292" s="60" t="b">
        <v>0</v>
      </c>
      <c r="M292" s="60" t="b">
        <v>0</v>
      </c>
      <c r="N292" s="60" t="b">
        <v>0</v>
      </c>
      <c r="O292" s="60" t="b">
        <v>0</v>
      </c>
      <c r="P292" s="60" t="b">
        <v>0</v>
      </c>
      <c r="Q292" s="60" t="b">
        <v>0</v>
      </c>
      <c r="R292" s="60" t="b">
        <v>0</v>
      </c>
      <c r="S292" s="60" t="b">
        <v>0</v>
      </c>
      <c r="T292" s="60" t="b">
        <v>0</v>
      </c>
      <c r="U292" s="60" t="b">
        <v>0</v>
      </c>
      <c r="V292" s="60" t="b">
        <v>0</v>
      </c>
      <c r="W292" s="60" t="b">
        <v>0</v>
      </c>
    </row>
    <row r="293" spans="1:23" ht="42" x14ac:dyDescent="0.15">
      <c r="A293" s="62" t="s">
        <v>847</v>
      </c>
      <c r="B293" s="62" t="s">
        <v>68</v>
      </c>
      <c r="C293" s="64" t="s">
        <v>631</v>
      </c>
      <c r="D293" s="66" t="s">
        <v>760</v>
      </c>
      <c r="E293" s="64" t="s">
        <v>839</v>
      </c>
      <c r="F293" s="67" t="s">
        <v>848</v>
      </c>
      <c r="G293" s="60"/>
      <c r="H293" s="60" t="b">
        <v>0</v>
      </c>
      <c r="I293" s="60" t="b">
        <v>0</v>
      </c>
      <c r="J293" s="60" t="b">
        <v>0</v>
      </c>
      <c r="K293" s="60" t="b">
        <v>0</v>
      </c>
      <c r="L293" s="60" t="b">
        <v>0</v>
      </c>
      <c r="M293" s="60" t="b">
        <v>0</v>
      </c>
      <c r="N293" s="60" t="b">
        <v>0</v>
      </c>
      <c r="O293" s="60" t="b">
        <v>0</v>
      </c>
      <c r="P293" s="60" t="b">
        <v>0</v>
      </c>
      <c r="Q293" s="60" t="b">
        <v>0</v>
      </c>
      <c r="R293" s="60" t="b">
        <v>0</v>
      </c>
      <c r="S293" s="60" t="b">
        <v>0</v>
      </c>
      <c r="T293" s="60" t="b">
        <v>0</v>
      </c>
      <c r="U293" s="60" t="b">
        <v>0</v>
      </c>
      <c r="V293" s="60" t="b">
        <v>0</v>
      </c>
      <c r="W293" s="60" t="b">
        <v>0</v>
      </c>
    </row>
    <row r="294" spans="1:23" ht="28" x14ac:dyDescent="0.15">
      <c r="A294" s="62" t="s">
        <v>849</v>
      </c>
      <c r="B294" s="62" t="s">
        <v>68</v>
      </c>
      <c r="C294" s="64" t="s">
        <v>631</v>
      </c>
      <c r="D294" s="66" t="s">
        <v>760</v>
      </c>
      <c r="E294" s="64" t="s">
        <v>839</v>
      </c>
      <c r="F294" s="67" t="s">
        <v>850</v>
      </c>
      <c r="G294" s="60" t="s">
        <v>201</v>
      </c>
      <c r="H294" s="60" t="b">
        <v>0</v>
      </c>
      <c r="I294" s="60" t="b">
        <v>0</v>
      </c>
      <c r="J294" s="60" t="b">
        <v>0</v>
      </c>
      <c r="K294" s="60" t="b">
        <v>0</v>
      </c>
      <c r="L294" s="60" t="b">
        <v>0</v>
      </c>
      <c r="M294" s="60" t="b">
        <v>0</v>
      </c>
      <c r="N294" s="60" t="b">
        <v>0</v>
      </c>
      <c r="O294" s="60" t="b">
        <v>0</v>
      </c>
      <c r="P294" s="60" t="b">
        <v>0</v>
      </c>
      <c r="Q294" s="60" t="b">
        <v>0</v>
      </c>
      <c r="R294" s="60" t="b">
        <v>0</v>
      </c>
      <c r="S294" s="60" t="b">
        <v>0</v>
      </c>
      <c r="T294" s="60" t="b">
        <v>0</v>
      </c>
      <c r="U294" s="60" t="b">
        <v>0</v>
      </c>
      <c r="V294" s="60" t="b">
        <v>0</v>
      </c>
      <c r="W294" s="60" t="b">
        <v>0</v>
      </c>
    </row>
    <row r="295" spans="1:23" ht="28" x14ac:dyDescent="0.15">
      <c r="A295" s="62" t="s">
        <v>851</v>
      </c>
      <c r="B295" s="62" t="s">
        <v>68</v>
      </c>
      <c r="C295" s="64" t="s">
        <v>631</v>
      </c>
      <c r="D295" s="66" t="s">
        <v>760</v>
      </c>
      <c r="E295" s="64" t="s">
        <v>839</v>
      </c>
      <c r="F295" s="67" t="s">
        <v>852</v>
      </c>
      <c r="G295" s="60"/>
      <c r="H295" s="60" t="b">
        <v>0</v>
      </c>
      <c r="I295" s="60" t="b">
        <v>0</v>
      </c>
      <c r="J295" s="60" t="b">
        <v>0</v>
      </c>
      <c r="K295" s="60" t="b">
        <v>0</v>
      </c>
      <c r="L295" s="60" t="b">
        <v>0</v>
      </c>
      <c r="M295" s="60" t="b">
        <v>0</v>
      </c>
      <c r="N295" s="60" t="b">
        <v>0</v>
      </c>
      <c r="O295" s="60" t="b">
        <v>0</v>
      </c>
      <c r="P295" s="60" t="b">
        <v>0</v>
      </c>
      <c r="Q295" s="60" t="b">
        <v>0</v>
      </c>
      <c r="R295" s="60" t="b">
        <v>0</v>
      </c>
      <c r="S295" s="60" t="b">
        <v>0</v>
      </c>
      <c r="T295" s="60" t="b">
        <v>0</v>
      </c>
      <c r="U295" s="60" t="b">
        <v>0</v>
      </c>
      <c r="V295" s="60" t="b">
        <v>0</v>
      </c>
      <c r="W295" s="60" t="b">
        <v>0</v>
      </c>
    </row>
    <row r="296" spans="1:23" ht="28" x14ac:dyDescent="0.15">
      <c r="A296" s="62" t="s">
        <v>853</v>
      </c>
      <c r="B296" s="62" t="s">
        <v>66</v>
      </c>
      <c r="C296" s="64" t="s">
        <v>854</v>
      </c>
      <c r="D296" s="66" t="s">
        <v>855</v>
      </c>
      <c r="E296" s="64" t="s">
        <v>856</v>
      </c>
      <c r="F296" s="67" t="s">
        <v>857</v>
      </c>
      <c r="G296" s="60" t="s">
        <v>113</v>
      </c>
      <c r="H296" s="60" t="b">
        <v>0</v>
      </c>
      <c r="I296" s="60" t="b">
        <v>1</v>
      </c>
      <c r="J296" s="60" t="b">
        <v>0</v>
      </c>
      <c r="K296" s="60" t="b">
        <v>0</v>
      </c>
      <c r="L296" s="60" t="b">
        <v>0</v>
      </c>
      <c r="M296" s="60" t="b">
        <v>0</v>
      </c>
      <c r="N296" s="60" t="b">
        <v>0</v>
      </c>
      <c r="O296" s="60" t="b">
        <v>0</v>
      </c>
      <c r="P296" s="60" t="b">
        <v>0</v>
      </c>
      <c r="Q296" s="60" t="b">
        <v>0</v>
      </c>
      <c r="R296" s="60" t="b">
        <v>0</v>
      </c>
      <c r="S296" s="60" t="b">
        <v>0</v>
      </c>
      <c r="T296" s="60" t="b">
        <v>0</v>
      </c>
      <c r="U296" s="60" t="b">
        <v>0</v>
      </c>
      <c r="V296" s="60" t="b">
        <v>0</v>
      </c>
      <c r="W296" s="60" t="b">
        <v>0</v>
      </c>
    </row>
    <row r="297" spans="1:23" ht="70" x14ac:dyDescent="0.15">
      <c r="A297" s="62" t="s">
        <v>858</v>
      </c>
      <c r="B297" s="62" t="s">
        <v>66</v>
      </c>
      <c r="C297" s="64" t="s">
        <v>854</v>
      </c>
      <c r="D297" s="66" t="s">
        <v>855</v>
      </c>
      <c r="E297" s="64" t="s">
        <v>856</v>
      </c>
      <c r="F297" s="67" t="s">
        <v>859</v>
      </c>
      <c r="G297" s="60" t="s">
        <v>113</v>
      </c>
      <c r="H297" s="60" t="b">
        <v>0</v>
      </c>
      <c r="I297" s="60" t="b">
        <v>1</v>
      </c>
      <c r="J297" s="60" t="b">
        <v>0</v>
      </c>
      <c r="K297" s="60" t="b">
        <v>0</v>
      </c>
      <c r="L297" s="60" t="b">
        <v>0</v>
      </c>
      <c r="M297" s="60" t="b">
        <v>0</v>
      </c>
      <c r="N297" s="60" t="b">
        <v>0</v>
      </c>
      <c r="O297" s="60" t="b">
        <v>0</v>
      </c>
      <c r="P297" s="60" t="b">
        <v>0</v>
      </c>
      <c r="Q297" s="60" t="b">
        <v>0</v>
      </c>
      <c r="R297" s="60" t="b">
        <v>0</v>
      </c>
      <c r="S297" s="60" t="b">
        <v>0</v>
      </c>
      <c r="T297" s="60" t="b">
        <v>0</v>
      </c>
      <c r="U297" s="60" t="b">
        <v>0</v>
      </c>
      <c r="V297" s="60" t="b">
        <v>0</v>
      </c>
      <c r="W297" s="60" t="b">
        <v>0</v>
      </c>
    </row>
    <row r="298" spans="1:23" ht="70" x14ac:dyDescent="0.15">
      <c r="A298" s="62" t="s">
        <v>860</v>
      </c>
      <c r="B298" s="62" t="s">
        <v>66</v>
      </c>
      <c r="C298" s="64" t="s">
        <v>854</v>
      </c>
      <c r="D298" s="66" t="s">
        <v>855</v>
      </c>
      <c r="E298" s="64" t="s">
        <v>856</v>
      </c>
      <c r="F298" s="67" t="s">
        <v>861</v>
      </c>
      <c r="G298" s="60" t="s">
        <v>113</v>
      </c>
      <c r="H298" s="60" t="b">
        <v>0</v>
      </c>
      <c r="I298" s="60" t="b">
        <v>1</v>
      </c>
      <c r="J298" s="60" t="b">
        <v>0</v>
      </c>
      <c r="K298" s="60" t="b">
        <v>0</v>
      </c>
      <c r="L298" s="60" t="b">
        <v>0</v>
      </c>
      <c r="M298" s="60" t="b">
        <v>0</v>
      </c>
      <c r="N298" s="60" t="b">
        <v>0</v>
      </c>
      <c r="O298" s="60" t="b">
        <v>0</v>
      </c>
      <c r="P298" s="60" t="b">
        <v>0</v>
      </c>
      <c r="Q298" s="60" t="b">
        <v>0</v>
      </c>
      <c r="R298" s="60" t="b">
        <v>0</v>
      </c>
      <c r="S298" s="60" t="b">
        <v>0</v>
      </c>
      <c r="T298" s="60" t="b">
        <v>0</v>
      </c>
      <c r="U298" s="60" t="b">
        <v>0</v>
      </c>
      <c r="V298" s="60" t="b">
        <v>0</v>
      </c>
      <c r="W298" s="60" t="b">
        <v>0</v>
      </c>
    </row>
    <row r="299" spans="1:23" ht="70" x14ac:dyDescent="0.15">
      <c r="A299" s="62" t="s">
        <v>862</v>
      </c>
      <c r="B299" s="62" t="s">
        <v>66</v>
      </c>
      <c r="C299" s="64" t="s">
        <v>854</v>
      </c>
      <c r="D299" s="66" t="s">
        <v>855</v>
      </c>
      <c r="E299" s="64" t="s">
        <v>863</v>
      </c>
      <c r="F299" s="67" t="s">
        <v>864</v>
      </c>
      <c r="G299" s="60" t="s">
        <v>113</v>
      </c>
      <c r="H299" s="60" t="b">
        <v>0</v>
      </c>
      <c r="I299" s="60" t="b">
        <v>1</v>
      </c>
      <c r="J299" s="60" t="b">
        <v>0</v>
      </c>
      <c r="K299" s="60" t="b">
        <v>0</v>
      </c>
      <c r="L299" s="60" t="b">
        <v>0</v>
      </c>
      <c r="M299" s="60" t="b">
        <v>0</v>
      </c>
      <c r="N299" s="60" t="b">
        <v>0</v>
      </c>
      <c r="O299" s="60" t="b">
        <v>0</v>
      </c>
      <c r="P299" s="60" t="b">
        <v>0</v>
      </c>
      <c r="Q299" s="60" t="b">
        <v>0</v>
      </c>
      <c r="R299" s="60" t="b">
        <v>0</v>
      </c>
      <c r="S299" s="60" t="b">
        <v>0</v>
      </c>
      <c r="T299" s="60" t="b">
        <v>0</v>
      </c>
      <c r="U299" s="60" t="b">
        <v>0</v>
      </c>
      <c r="V299" s="60" t="b">
        <v>0</v>
      </c>
      <c r="W299" s="60" t="b">
        <v>0</v>
      </c>
    </row>
    <row r="300" spans="1:23" ht="28" x14ac:dyDescent="0.15">
      <c r="A300" s="62" t="s">
        <v>865</v>
      </c>
      <c r="B300" s="62" t="s">
        <v>66</v>
      </c>
      <c r="C300" s="64" t="s">
        <v>854</v>
      </c>
      <c r="D300" s="66" t="s">
        <v>855</v>
      </c>
      <c r="E300" s="64" t="s">
        <v>616</v>
      </c>
      <c r="F300" s="67" t="s">
        <v>866</v>
      </c>
      <c r="G300" s="60" t="s">
        <v>127</v>
      </c>
      <c r="H300" s="60" t="b">
        <v>0</v>
      </c>
      <c r="I300" s="60" t="b">
        <v>0</v>
      </c>
      <c r="J300" s="60" t="b">
        <v>0</v>
      </c>
      <c r="K300" s="60" t="b">
        <v>0</v>
      </c>
      <c r="L300" s="60" t="b">
        <v>0</v>
      </c>
      <c r="M300" s="60" t="b">
        <v>0</v>
      </c>
      <c r="N300" s="60" t="b">
        <v>0</v>
      </c>
      <c r="O300" s="60" t="b">
        <v>0</v>
      </c>
      <c r="P300" s="60" t="b">
        <v>0</v>
      </c>
      <c r="Q300" s="60" t="b">
        <v>0</v>
      </c>
      <c r="R300" s="60" t="b">
        <v>0</v>
      </c>
      <c r="S300" s="60" t="b">
        <v>0</v>
      </c>
      <c r="T300" s="60" t="b">
        <v>0</v>
      </c>
      <c r="U300" s="60" t="b">
        <v>0</v>
      </c>
      <c r="V300" s="60" t="b">
        <v>0</v>
      </c>
      <c r="W300" s="60" t="b">
        <v>1</v>
      </c>
    </row>
    <row r="301" spans="1:23" ht="14" x14ac:dyDescent="0.15">
      <c r="A301" s="62" t="s">
        <v>867</v>
      </c>
      <c r="B301" s="62" t="s">
        <v>66</v>
      </c>
      <c r="C301" s="64" t="s">
        <v>854</v>
      </c>
      <c r="D301" s="66" t="s">
        <v>855</v>
      </c>
      <c r="E301" s="64" t="s">
        <v>616</v>
      </c>
      <c r="F301" s="67" t="s">
        <v>868</v>
      </c>
      <c r="G301" s="60" t="s">
        <v>127</v>
      </c>
      <c r="H301" s="60" t="b">
        <v>0</v>
      </c>
      <c r="I301" s="60" t="b">
        <v>0</v>
      </c>
      <c r="J301" s="60" t="b">
        <v>0</v>
      </c>
      <c r="K301" s="60" t="b">
        <v>0</v>
      </c>
      <c r="L301" s="60" t="b">
        <v>0</v>
      </c>
      <c r="M301" s="60" t="b">
        <v>0</v>
      </c>
      <c r="N301" s="60" t="b">
        <v>0</v>
      </c>
      <c r="O301" s="60" t="b">
        <v>0</v>
      </c>
      <c r="P301" s="60" t="b">
        <v>0</v>
      </c>
      <c r="Q301" s="60" t="b">
        <v>0</v>
      </c>
      <c r="R301" s="60" t="b">
        <v>0</v>
      </c>
      <c r="S301" s="60" t="b">
        <v>0</v>
      </c>
      <c r="T301" s="60" t="b">
        <v>0</v>
      </c>
      <c r="U301" s="60" t="b">
        <v>0</v>
      </c>
      <c r="V301" s="60" t="b">
        <v>0</v>
      </c>
      <c r="W301" s="60" t="b">
        <v>1</v>
      </c>
    </row>
    <row r="302" spans="1:23" ht="14" x14ac:dyDescent="0.15">
      <c r="A302" s="62" t="s">
        <v>869</v>
      </c>
      <c r="B302" s="62" t="s">
        <v>66</v>
      </c>
      <c r="C302" s="64" t="s">
        <v>854</v>
      </c>
      <c r="D302" s="66" t="s">
        <v>870</v>
      </c>
      <c r="E302" s="64" t="s">
        <v>871</v>
      </c>
      <c r="F302" s="67" t="s">
        <v>872</v>
      </c>
      <c r="G302" s="60" t="s">
        <v>113</v>
      </c>
      <c r="H302" s="60" t="b">
        <v>0</v>
      </c>
      <c r="I302" s="60" t="b">
        <v>1</v>
      </c>
      <c r="J302" s="60" t="b">
        <v>0</v>
      </c>
      <c r="K302" s="60" t="b">
        <v>0</v>
      </c>
      <c r="L302" s="60" t="b">
        <v>0</v>
      </c>
      <c r="M302" s="60" t="b">
        <v>0</v>
      </c>
      <c r="N302" s="60" t="b">
        <v>0</v>
      </c>
      <c r="O302" s="60" t="b">
        <v>0</v>
      </c>
      <c r="P302" s="60" t="b">
        <v>0</v>
      </c>
      <c r="Q302" s="60" t="b">
        <v>0</v>
      </c>
      <c r="R302" s="60" t="b">
        <v>0</v>
      </c>
      <c r="S302" s="60" t="b">
        <v>0</v>
      </c>
      <c r="T302" s="60" t="b">
        <v>0</v>
      </c>
      <c r="U302" s="60" t="b">
        <v>0</v>
      </c>
      <c r="V302" s="60" t="b">
        <v>0</v>
      </c>
      <c r="W302" s="60" t="b">
        <v>0</v>
      </c>
    </row>
    <row r="303" spans="1:23" ht="14" x14ac:dyDescent="0.15">
      <c r="A303" s="62" t="s">
        <v>873</v>
      </c>
      <c r="B303" s="62" t="s">
        <v>66</v>
      </c>
      <c r="C303" s="64" t="s">
        <v>854</v>
      </c>
      <c r="D303" s="66" t="s">
        <v>870</v>
      </c>
      <c r="E303" s="64" t="s">
        <v>871</v>
      </c>
      <c r="F303" s="67" t="s">
        <v>874</v>
      </c>
      <c r="G303" s="60" t="s">
        <v>113</v>
      </c>
      <c r="H303" s="60" t="b">
        <v>0</v>
      </c>
      <c r="I303" s="60" t="b">
        <v>1</v>
      </c>
      <c r="J303" s="60" t="b">
        <v>0</v>
      </c>
      <c r="K303" s="60" t="b">
        <v>0</v>
      </c>
      <c r="L303" s="60" t="b">
        <v>0</v>
      </c>
      <c r="M303" s="60" t="b">
        <v>0</v>
      </c>
      <c r="N303" s="60" t="b">
        <v>0</v>
      </c>
      <c r="O303" s="60" t="b">
        <v>0</v>
      </c>
      <c r="P303" s="60" t="b">
        <v>0</v>
      </c>
      <c r="Q303" s="60" t="b">
        <v>0</v>
      </c>
      <c r="R303" s="60" t="b">
        <v>0</v>
      </c>
      <c r="S303" s="60" t="b">
        <v>0</v>
      </c>
      <c r="T303" s="60" t="b">
        <v>0</v>
      </c>
      <c r="U303" s="60" t="b">
        <v>0</v>
      </c>
      <c r="V303" s="60" t="b">
        <v>0</v>
      </c>
      <c r="W303" s="60" t="b">
        <v>0</v>
      </c>
    </row>
    <row r="304" spans="1:23" ht="14" x14ac:dyDescent="0.15">
      <c r="A304" s="62" t="s">
        <v>875</v>
      </c>
      <c r="B304" s="62" t="s">
        <v>66</v>
      </c>
      <c r="C304" s="64" t="s">
        <v>854</v>
      </c>
      <c r="D304" s="66" t="s">
        <v>870</v>
      </c>
      <c r="E304" s="64" t="s">
        <v>871</v>
      </c>
      <c r="F304" s="67" t="s">
        <v>876</v>
      </c>
      <c r="G304" s="60" t="s">
        <v>113</v>
      </c>
      <c r="H304" s="60" t="b">
        <v>0</v>
      </c>
      <c r="I304" s="60" t="b">
        <v>1</v>
      </c>
      <c r="J304" s="60" t="b">
        <v>0</v>
      </c>
      <c r="K304" s="60" t="b">
        <v>0</v>
      </c>
      <c r="L304" s="60" t="b">
        <v>0</v>
      </c>
      <c r="M304" s="60" t="b">
        <v>0</v>
      </c>
      <c r="N304" s="60" t="b">
        <v>0</v>
      </c>
      <c r="O304" s="60" t="b">
        <v>0</v>
      </c>
      <c r="P304" s="60" t="b">
        <v>0</v>
      </c>
      <c r="Q304" s="60" t="b">
        <v>0</v>
      </c>
      <c r="R304" s="60" t="b">
        <v>0</v>
      </c>
      <c r="S304" s="60" t="b">
        <v>0</v>
      </c>
      <c r="T304" s="60" t="b">
        <v>0</v>
      </c>
      <c r="U304" s="60" t="b">
        <v>0</v>
      </c>
      <c r="V304" s="60" t="b">
        <v>0</v>
      </c>
      <c r="W304" s="60" t="b">
        <v>0</v>
      </c>
    </row>
    <row r="305" spans="1:23" ht="14" x14ac:dyDescent="0.15">
      <c r="A305" s="62" t="s">
        <v>877</v>
      </c>
      <c r="B305" s="62" t="s">
        <v>66</v>
      </c>
      <c r="C305" s="64" t="s">
        <v>854</v>
      </c>
      <c r="D305" s="66" t="s">
        <v>870</v>
      </c>
      <c r="E305" s="64" t="s">
        <v>871</v>
      </c>
      <c r="F305" s="67" t="s">
        <v>878</v>
      </c>
      <c r="G305" s="60" t="s">
        <v>113</v>
      </c>
      <c r="H305" s="60" t="b">
        <v>0</v>
      </c>
      <c r="I305" s="60" t="b">
        <v>1</v>
      </c>
      <c r="J305" s="60" t="b">
        <v>0</v>
      </c>
      <c r="K305" s="60" t="b">
        <v>0</v>
      </c>
      <c r="L305" s="60" t="b">
        <v>0</v>
      </c>
      <c r="M305" s="60" t="b">
        <v>0</v>
      </c>
      <c r="N305" s="60" t="b">
        <v>0</v>
      </c>
      <c r="O305" s="60" t="b">
        <v>0</v>
      </c>
      <c r="P305" s="60" t="b">
        <v>0</v>
      </c>
      <c r="Q305" s="60" t="b">
        <v>0</v>
      </c>
      <c r="R305" s="60" t="b">
        <v>0</v>
      </c>
      <c r="S305" s="60" t="b">
        <v>0</v>
      </c>
      <c r="T305" s="60" t="b">
        <v>0</v>
      </c>
      <c r="U305" s="60" t="b">
        <v>0</v>
      </c>
      <c r="V305" s="60" t="b">
        <v>0</v>
      </c>
      <c r="W305" s="60" t="b">
        <v>0</v>
      </c>
    </row>
    <row r="306" spans="1:23" ht="14" x14ac:dyDescent="0.15">
      <c r="A306" s="62" t="s">
        <v>879</v>
      </c>
      <c r="B306" s="62" t="s">
        <v>66</v>
      </c>
      <c r="C306" s="64" t="s">
        <v>854</v>
      </c>
      <c r="D306" s="66" t="s">
        <v>870</v>
      </c>
      <c r="E306" s="64" t="s">
        <v>871</v>
      </c>
      <c r="F306" s="67" t="s">
        <v>880</v>
      </c>
      <c r="G306" s="60"/>
      <c r="H306" s="60" t="b">
        <v>0</v>
      </c>
      <c r="I306" s="60" t="b">
        <v>0</v>
      </c>
      <c r="J306" s="60" t="b">
        <v>0</v>
      </c>
      <c r="K306" s="60" t="b">
        <v>0</v>
      </c>
      <c r="L306" s="60" t="b">
        <v>0</v>
      </c>
      <c r="M306" s="60" t="b">
        <v>0</v>
      </c>
      <c r="N306" s="60" t="b">
        <v>0</v>
      </c>
      <c r="O306" s="60" t="b">
        <v>0</v>
      </c>
      <c r="P306" s="60" t="b">
        <v>0</v>
      </c>
      <c r="Q306" s="60" t="b">
        <v>0</v>
      </c>
      <c r="R306" s="60" t="b">
        <v>0</v>
      </c>
      <c r="S306" s="60" t="b">
        <v>0</v>
      </c>
      <c r="T306" s="60" t="b">
        <v>0</v>
      </c>
      <c r="U306" s="60" t="b">
        <v>0</v>
      </c>
      <c r="V306" s="60" t="b">
        <v>0</v>
      </c>
      <c r="W306" s="60" t="b">
        <v>0</v>
      </c>
    </row>
    <row r="307" spans="1:23" ht="14" x14ac:dyDescent="0.15">
      <c r="A307" s="62" t="s">
        <v>881</v>
      </c>
      <c r="B307" s="62" t="s">
        <v>66</v>
      </c>
      <c r="C307" s="64" t="s">
        <v>854</v>
      </c>
      <c r="D307" s="66" t="s">
        <v>870</v>
      </c>
      <c r="E307" s="64" t="s">
        <v>611</v>
      </c>
      <c r="F307" s="67" t="s">
        <v>882</v>
      </c>
      <c r="G307" s="60" t="s">
        <v>113</v>
      </c>
      <c r="H307" s="60" t="b">
        <v>0</v>
      </c>
      <c r="I307" s="60" t="b">
        <v>1</v>
      </c>
      <c r="J307" s="60" t="b">
        <v>0</v>
      </c>
      <c r="K307" s="60" t="b">
        <v>0</v>
      </c>
      <c r="L307" s="60" t="b">
        <v>0</v>
      </c>
      <c r="M307" s="60" t="b">
        <v>0</v>
      </c>
      <c r="N307" s="60" t="b">
        <v>0</v>
      </c>
      <c r="O307" s="60" t="b">
        <v>0</v>
      </c>
      <c r="P307" s="60" t="b">
        <v>0</v>
      </c>
      <c r="Q307" s="60" t="b">
        <v>0</v>
      </c>
      <c r="R307" s="60" t="b">
        <v>0</v>
      </c>
      <c r="S307" s="60" t="b">
        <v>0</v>
      </c>
      <c r="T307" s="60" t="b">
        <v>0</v>
      </c>
      <c r="U307" s="60" t="b">
        <v>0</v>
      </c>
      <c r="V307" s="60" t="b">
        <v>0</v>
      </c>
      <c r="W307" s="60" t="b">
        <v>0</v>
      </c>
    </row>
    <row r="308" spans="1:23" ht="56" x14ac:dyDescent="0.15">
      <c r="A308" s="62" t="s">
        <v>883</v>
      </c>
      <c r="B308" s="62" t="s">
        <v>66</v>
      </c>
      <c r="C308" s="64" t="s">
        <v>854</v>
      </c>
      <c r="D308" s="66" t="s">
        <v>870</v>
      </c>
      <c r="E308" s="64" t="s">
        <v>611</v>
      </c>
      <c r="F308" s="67" t="s">
        <v>884</v>
      </c>
      <c r="G308" s="60" t="s">
        <v>113</v>
      </c>
      <c r="H308" s="60" t="b">
        <v>0</v>
      </c>
      <c r="I308" s="60" t="b">
        <v>1</v>
      </c>
      <c r="J308" s="60" t="b">
        <v>0</v>
      </c>
      <c r="K308" s="60" t="b">
        <v>0</v>
      </c>
      <c r="L308" s="60" t="b">
        <v>0</v>
      </c>
      <c r="M308" s="60" t="b">
        <v>0</v>
      </c>
      <c r="N308" s="60" t="b">
        <v>0</v>
      </c>
      <c r="O308" s="60" t="b">
        <v>0</v>
      </c>
      <c r="P308" s="60" t="b">
        <v>0</v>
      </c>
      <c r="Q308" s="60" t="b">
        <v>0</v>
      </c>
      <c r="R308" s="60" t="b">
        <v>0</v>
      </c>
      <c r="S308" s="60" t="b">
        <v>0</v>
      </c>
      <c r="T308" s="60" t="b">
        <v>0</v>
      </c>
      <c r="U308" s="60" t="b">
        <v>0</v>
      </c>
      <c r="V308" s="60" t="b">
        <v>0</v>
      </c>
      <c r="W308" s="60" t="b">
        <v>0</v>
      </c>
    </row>
    <row r="309" spans="1:23" ht="28" x14ac:dyDescent="0.15">
      <c r="A309" s="62" t="s">
        <v>885</v>
      </c>
      <c r="B309" s="62" t="s">
        <v>66</v>
      </c>
      <c r="C309" s="64" t="s">
        <v>854</v>
      </c>
      <c r="D309" s="66" t="s">
        <v>870</v>
      </c>
      <c r="E309" s="64" t="s">
        <v>611</v>
      </c>
      <c r="F309" s="67" t="s">
        <v>886</v>
      </c>
      <c r="G309" s="60" t="s">
        <v>113</v>
      </c>
      <c r="H309" s="60" t="b">
        <v>0</v>
      </c>
      <c r="I309" s="60" t="b">
        <v>1</v>
      </c>
      <c r="J309" s="60" t="b">
        <v>0</v>
      </c>
      <c r="K309" s="60" t="b">
        <v>0</v>
      </c>
      <c r="L309" s="60" t="b">
        <v>0</v>
      </c>
      <c r="M309" s="60" t="b">
        <v>0</v>
      </c>
      <c r="N309" s="60" t="b">
        <v>0</v>
      </c>
      <c r="O309" s="60" t="b">
        <v>0</v>
      </c>
      <c r="P309" s="60" t="b">
        <v>0</v>
      </c>
      <c r="Q309" s="60" t="b">
        <v>0</v>
      </c>
      <c r="R309" s="60" t="b">
        <v>0</v>
      </c>
      <c r="S309" s="60" t="b">
        <v>0</v>
      </c>
      <c r="T309" s="60" t="b">
        <v>0</v>
      </c>
      <c r="U309" s="60" t="b">
        <v>0</v>
      </c>
      <c r="V309" s="60" t="b">
        <v>0</v>
      </c>
      <c r="W309" s="60" t="b">
        <v>0</v>
      </c>
    </row>
    <row r="310" spans="1:23" ht="112" x14ac:dyDescent="0.15">
      <c r="A310" s="62" t="s">
        <v>887</v>
      </c>
      <c r="B310" s="62" t="s">
        <v>66</v>
      </c>
      <c r="C310" s="64" t="s">
        <v>854</v>
      </c>
      <c r="D310" s="66" t="s">
        <v>870</v>
      </c>
      <c r="E310" s="64" t="s">
        <v>611</v>
      </c>
      <c r="F310" s="67" t="s">
        <v>888</v>
      </c>
      <c r="G310" s="60" t="s">
        <v>113</v>
      </c>
      <c r="H310" s="60" t="b">
        <v>0</v>
      </c>
      <c r="I310" s="60" t="b">
        <v>1</v>
      </c>
      <c r="J310" s="60" t="b">
        <v>0</v>
      </c>
      <c r="K310" s="60" t="b">
        <v>0</v>
      </c>
      <c r="L310" s="60" t="b">
        <v>0</v>
      </c>
      <c r="M310" s="60" t="b">
        <v>0</v>
      </c>
      <c r="N310" s="60" t="b">
        <v>0</v>
      </c>
      <c r="O310" s="60" t="b">
        <v>0</v>
      </c>
      <c r="P310" s="60" t="b">
        <v>0</v>
      </c>
      <c r="Q310" s="60" t="b">
        <v>0</v>
      </c>
      <c r="R310" s="60" t="b">
        <v>0</v>
      </c>
      <c r="S310" s="60" t="b">
        <v>0</v>
      </c>
      <c r="T310" s="60" t="b">
        <v>0</v>
      </c>
      <c r="U310" s="60" t="b">
        <v>0</v>
      </c>
      <c r="V310" s="60" t="b">
        <v>0</v>
      </c>
      <c r="W310" s="60" t="b">
        <v>0</v>
      </c>
    </row>
    <row r="311" spans="1:23" ht="126" x14ac:dyDescent="0.15">
      <c r="A311" s="62" t="s">
        <v>889</v>
      </c>
      <c r="B311" s="62" t="s">
        <v>66</v>
      </c>
      <c r="C311" s="64" t="s">
        <v>854</v>
      </c>
      <c r="D311" s="66" t="s">
        <v>870</v>
      </c>
      <c r="E311" s="64" t="s">
        <v>111</v>
      </c>
      <c r="F311" s="67" t="s">
        <v>890</v>
      </c>
      <c r="G311" s="60" t="s">
        <v>114</v>
      </c>
      <c r="H311" s="60" t="b">
        <v>0</v>
      </c>
      <c r="I311" s="60" t="b">
        <v>0</v>
      </c>
      <c r="J311" s="60" t="b">
        <v>1</v>
      </c>
      <c r="K311" s="60" t="b">
        <v>0</v>
      </c>
      <c r="L311" s="60" t="b">
        <v>0</v>
      </c>
      <c r="M311" s="60" t="b">
        <v>0</v>
      </c>
      <c r="N311" s="60" t="b">
        <v>0</v>
      </c>
      <c r="O311" s="60" t="b">
        <v>0</v>
      </c>
      <c r="P311" s="60" t="b">
        <v>0</v>
      </c>
      <c r="Q311" s="60" t="b">
        <v>0</v>
      </c>
      <c r="R311" s="60" t="b">
        <v>0</v>
      </c>
      <c r="S311" s="60" t="b">
        <v>0</v>
      </c>
      <c r="T311" s="60" t="b">
        <v>0</v>
      </c>
      <c r="U311" s="60" t="b">
        <v>0</v>
      </c>
      <c r="V311" s="60" t="b">
        <v>0</v>
      </c>
      <c r="W311" s="60" t="b">
        <v>0</v>
      </c>
    </row>
    <row r="312" spans="1:23" ht="28" x14ac:dyDescent="0.15">
      <c r="A312" s="62" t="s">
        <v>891</v>
      </c>
      <c r="B312" s="62" t="s">
        <v>66</v>
      </c>
      <c r="C312" s="64" t="s">
        <v>854</v>
      </c>
      <c r="D312" s="66" t="s">
        <v>870</v>
      </c>
      <c r="E312" s="64" t="s">
        <v>111</v>
      </c>
      <c r="F312" s="67" t="s">
        <v>892</v>
      </c>
      <c r="G312" s="60" t="s">
        <v>114</v>
      </c>
      <c r="H312" s="60" t="b">
        <v>0</v>
      </c>
      <c r="I312" s="60" t="b">
        <v>0</v>
      </c>
      <c r="J312" s="60" t="b">
        <v>1</v>
      </c>
      <c r="K312" s="60" t="b">
        <v>0</v>
      </c>
      <c r="L312" s="60" t="b">
        <v>0</v>
      </c>
      <c r="M312" s="60" t="b">
        <v>0</v>
      </c>
      <c r="N312" s="60" t="b">
        <v>0</v>
      </c>
      <c r="O312" s="60" t="b">
        <v>0</v>
      </c>
      <c r="P312" s="60" t="b">
        <v>0</v>
      </c>
      <c r="Q312" s="60" t="b">
        <v>0</v>
      </c>
      <c r="R312" s="60" t="b">
        <v>0</v>
      </c>
      <c r="S312" s="60" t="b">
        <v>0</v>
      </c>
      <c r="T312" s="60" t="b">
        <v>0</v>
      </c>
      <c r="U312" s="60" t="b">
        <v>0</v>
      </c>
      <c r="V312" s="60" t="b">
        <v>0</v>
      </c>
      <c r="W312" s="60" t="b">
        <v>0</v>
      </c>
    </row>
    <row r="313" spans="1:23" ht="28" x14ac:dyDescent="0.15">
      <c r="A313" s="62" t="s">
        <v>893</v>
      </c>
      <c r="B313" s="62" t="s">
        <v>66</v>
      </c>
      <c r="C313" s="64" t="s">
        <v>854</v>
      </c>
      <c r="D313" s="66" t="s">
        <v>870</v>
      </c>
      <c r="E313" s="64" t="s">
        <v>111</v>
      </c>
      <c r="F313" s="67" t="s">
        <v>894</v>
      </c>
      <c r="G313" s="60" t="s">
        <v>114</v>
      </c>
      <c r="H313" s="60" t="b">
        <v>0</v>
      </c>
      <c r="I313" s="60" t="b">
        <v>0</v>
      </c>
      <c r="J313" s="60" t="b">
        <v>1</v>
      </c>
      <c r="K313" s="60" t="b">
        <v>0</v>
      </c>
      <c r="L313" s="60" t="b">
        <v>0</v>
      </c>
      <c r="M313" s="60" t="b">
        <v>0</v>
      </c>
      <c r="N313" s="60" t="b">
        <v>0</v>
      </c>
      <c r="O313" s="60" t="b">
        <v>0</v>
      </c>
      <c r="P313" s="60" t="b">
        <v>0</v>
      </c>
      <c r="Q313" s="60" t="b">
        <v>0</v>
      </c>
      <c r="R313" s="60" t="b">
        <v>0</v>
      </c>
      <c r="S313" s="60" t="b">
        <v>0</v>
      </c>
      <c r="T313" s="60" t="b">
        <v>0</v>
      </c>
      <c r="U313" s="60" t="b">
        <v>0</v>
      </c>
      <c r="V313" s="60" t="b">
        <v>0</v>
      </c>
      <c r="W313" s="60" t="b">
        <v>0</v>
      </c>
    </row>
    <row r="314" spans="1:23" ht="42" x14ac:dyDescent="0.15">
      <c r="A314" s="62" t="s">
        <v>895</v>
      </c>
      <c r="B314" s="62" t="s">
        <v>66</v>
      </c>
      <c r="C314" s="64" t="s">
        <v>854</v>
      </c>
      <c r="D314" s="66" t="s">
        <v>870</v>
      </c>
      <c r="E314" s="64" t="s">
        <v>896</v>
      </c>
      <c r="F314" s="67" t="s">
        <v>897</v>
      </c>
      <c r="G314" s="60" t="s">
        <v>114</v>
      </c>
      <c r="H314" s="60" t="b">
        <v>0</v>
      </c>
      <c r="I314" s="60" t="b">
        <v>0</v>
      </c>
      <c r="J314" s="60" t="b">
        <v>1</v>
      </c>
      <c r="K314" s="60" t="b">
        <v>0</v>
      </c>
      <c r="L314" s="60" t="b">
        <v>0</v>
      </c>
      <c r="M314" s="60" t="b">
        <v>0</v>
      </c>
      <c r="N314" s="60" t="b">
        <v>0</v>
      </c>
      <c r="O314" s="60" t="b">
        <v>0</v>
      </c>
      <c r="P314" s="60" t="b">
        <v>0</v>
      </c>
      <c r="Q314" s="60" t="b">
        <v>0</v>
      </c>
      <c r="R314" s="60" t="b">
        <v>0</v>
      </c>
      <c r="S314" s="60" t="b">
        <v>0</v>
      </c>
      <c r="T314" s="60" t="b">
        <v>0</v>
      </c>
      <c r="U314" s="60" t="b">
        <v>0</v>
      </c>
      <c r="V314" s="60" t="b">
        <v>0</v>
      </c>
      <c r="W314" s="60" t="b">
        <v>0</v>
      </c>
    </row>
    <row r="315" spans="1:23" ht="42" x14ac:dyDescent="0.15">
      <c r="A315" s="62" t="s">
        <v>898</v>
      </c>
      <c r="B315" s="62" t="s">
        <v>66</v>
      </c>
      <c r="C315" s="64" t="s">
        <v>854</v>
      </c>
      <c r="D315" s="66" t="s">
        <v>870</v>
      </c>
      <c r="E315" s="64" t="s">
        <v>896</v>
      </c>
      <c r="F315" s="67" t="s">
        <v>899</v>
      </c>
      <c r="G315" s="60" t="s">
        <v>114</v>
      </c>
      <c r="H315" s="60" t="b">
        <v>0</v>
      </c>
      <c r="I315" s="60" t="b">
        <v>0</v>
      </c>
      <c r="J315" s="60" t="b">
        <v>1</v>
      </c>
      <c r="K315" s="60" t="b">
        <v>0</v>
      </c>
      <c r="L315" s="60" t="b">
        <v>0</v>
      </c>
      <c r="M315" s="60" t="b">
        <v>0</v>
      </c>
      <c r="N315" s="60" t="b">
        <v>0</v>
      </c>
      <c r="O315" s="60" t="b">
        <v>0</v>
      </c>
      <c r="P315" s="60" t="b">
        <v>0</v>
      </c>
      <c r="Q315" s="60" t="b">
        <v>0</v>
      </c>
      <c r="R315" s="60" t="b">
        <v>0</v>
      </c>
      <c r="S315" s="60" t="b">
        <v>0</v>
      </c>
      <c r="T315" s="60" t="b">
        <v>0</v>
      </c>
      <c r="U315" s="60" t="b">
        <v>0</v>
      </c>
      <c r="V315" s="60" t="b">
        <v>0</v>
      </c>
      <c r="W315" s="60" t="b">
        <v>0</v>
      </c>
    </row>
    <row r="316" spans="1:23" ht="42" x14ac:dyDescent="0.15">
      <c r="A316" s="62" t="s">
        <v>900</v>
      </c>
      <c r="B316" s="62" t="s">
        <v>66</v>
      </c>
      <c r="C316" s="64" t="s">
        <v>854</v>
      </c>
      <c r="D316" s="66" t="s">
        <v>870</v>
      </c>
      <c r="E316" s="64" t="s">
        <v>896</v>
      </c>
      <c r="F316" s="67" t="s">
        <v>901</v>
      </c>
      <c r="G316" s="60" t="s">
        <v>114</v>
      </c>
      <c r="H316" s="60" t="b">
        <v>0</v>
      </c>
      <c r="I316" s="60" t="b">
        <v>0</v>
      </c>
      <c r="J316" s="60" t="b">
        <v>1</v>
      </c>
      <c r="K316" s="60" t="b">
        <v>0</v>
      </c>
      <c r="L316" s="60" t="b">
        <v>0</v>
      </c>
      <c r="M316" s="60" t="b">
        <v>0</v>
      </c>
      <c r="N316" s="60" t="b">
        <v>0</v>
      </c>
      <c r="O316" s="60" t="b">
        <v>0</v>
      </c>
      <c r="P316" s="60" t="b">
        <v>0</v>
      </c>
      <c r="Q316" s="60" t="b">
        <v>0</v>
      </c>
      <c r="R316" s="60" t="b">
        <v>0</v>
      </c>
      <c r="S316" s="60" t="b">
        <v>0</v>
      </c>
      <c r="T316" s="60" t="b">
        <v>0</v>
      </c>
      <c r="U316" s="60" t="b">
        <v>0</v>
      </c>
      <c r="V316" s="60" t="b">
        <v>0</v>
      </c>
      <c r="W316" s="60" t="b">
        <v>0</v>
      </c>
    </row>
    <row r="317" spans="1:23" ht="28" x14ac:dyDescent="0.15">
      <c r="A317" s="62" t="s">
        <v>902</v>
      </c>
      <c r="B317" s="62" t="s">
        <v>66</v>
      </c>
      <c r="C317" s="64" t="s">
        <v>854</v>
      </c>
      <c r="D317" s="66" t="s">
        <v>870</v>
      </c>
      <c r="E317" s="64" t="s">
        <v>896</v>
      </c>
      <c r="F317" s="67" t="s">
        <v>903</v>
      </c>
      <c r="G317" s="60" t="s">
        <v>114</v>
      </c>
      <c r="H317" s="60" t="b">
        <v>0</v>
      </c>
      <c r="I317" s="60" t="b">
        <v>0</v>
      </c>
      <c r="J317" s="60" t="b">
        <v>1</v>
      </c>
      <c r="K317" s="60" t="b">
        <v>0</v>
      </c>
      <c r="L317" s="60" t="b">
        <v>0</v>
      </c>
      <c r="M317" s="60" t="b">
        <v>0</v>
      </c>
      <c r="N317" s="60" t="b">
        <v>0</v>
      </c>
      <c r="O317" s="60" t="b">
        <v>0</v>
      </c>
      <c r="P317" s="60" t="b">
        <v>0</v>
      </c>
      <c r="Q317" s="60" t="b">
        <v>0</v>
      </c>
      <c r="R317" s="60" t="b">
        <v>0</v>
      </c>
      <c r="S317" s="60" t="b">
        <v>0</v>
      </c>
      <c r="T317" s="60" t="b">
        <v>0</v>
      </c>
      <c r="U317" s="60" t="b">
        <v>0</v>
      </c>
      <c r="V317" s="60" t="b">
        <v>0</v>
      </c>
      <c r="W317" s="60" t="b">
        <v>0</v>
      </c>
    </row>
    <row r="318" spans="1:23" ht="14" x14ac:dyDescent="0.15">
      <c r="A318" s="62" t="s">
        <v>904</v>
      </c>
      <c r="B318" s="62" t="s">
        <v>66</v>
      </c>
      <c r="C318" s="64" t="s">
        <v>854</v>
      </c>
      <c r="D318" s="66" t="s">
        <v>870</v>
      </c>
      <c r="E318" s="64" t="s">
        <v>896</v>
      </c>
      <c r="F318" s="67" t="s">
        <v>905</v>
      </c>
      <c r="G318" s="60" t="s">
        <v>114</v>
      </c>
      <c r="H318" s="60" t="b">
        <v>0</v>
      </c>
      <c r="I318" s="60" t="b">
        <v>0</v>
      </c>
      <c r="J318" s="60" t="b">
        <v>1</v>
      </c>
      <c r="K318" s="60" t="b">
        <v>0</v>
      </c>
      <c r="L318" s="60" t="b">
        <v>0</v>
      </c>
      <c r="M318" s="60" t="b">
        <v>0</v>
      </c>
      <c r="N318" s="60" t="b">
        <v>0</v>
      </c>
      <c r="O318" s="60" t="b">
        <v>0</v>
      </c>
      <c r="P318" s="60" t="b">
        <v>0</v>
      </c>
      <c r="Q318" s="60" t="b">
        <v>0</v>
      </c>
      <c r="R318" s="60" t="b">
        <v>0</v>
      </c>
      <c r="S318" s="60" t="b">
        <v>0</v>
      </c>
      <c r="T318" s="60" t="b">
        <v>0</v>
      </c>
      <c r="U318" s="60" t="b">
        <v>0</v>
      </c>
      <c r="V318" s="60" t="b">
        <v>0</v>
      </c>
      <c r="W318" s="60" t="b">
        <v>0</v>
      </c>
    </row>
    <row r="319" spans="1:23" ht="28" x14ac:dyDescent="0.15">
      <c r="A319" s="62" t="s">
        <v>906</v>
      </c>
      <c r="B319" s="62" t="s">
        <v>66</v>
      </c>
      <c r="C319" s="64" t="s">
        <v>854</v>
      </c>
      <c r="D319" s="66" t="s">
        <v>870</v>
      </c>
      <c r="E319" s="64" t="s">
        <v>896</v>
      </c>
      <c r="F319" s="67" t="s">
        <v>907</v>
      </c>
      <c r="G319" s="60" t="s">
        <v>114</v>
      </c>
      <c r="H319" s="60" t="b">
        <v>0</v>
      </c>
      <c r="I319" s="60" t="b">
        <v>0</v>
      </c>
      <c r="J319" s="60" t="b">
        <v>1</v>
      </c>
      <c r="K319" s="60" t="b">
        <v>0</v>
      </c>
      <c r="L319" s="60" t="b">
        <v>0</v>
      </c>
      <c r="M319" s="60" t="b">
        <v>0</v>
      </c>
      <c r="N319" s="60" t="b">
        <v>0</v>
      </c>
      <c r="O319" s="60" t="b">
        <v>0</v>
      </c>
      <c r="P319" s="60" t="b">
        <v>0</v>
      </c>
      <c r="Q319" s="60" t="b">
        <v>0</v>
      </c>
      <c r="R319" s="60" t="b">
        <v>0</v>
      </c>
      <c r="S319" s="60" t="b">
        <v>0</v>
      </c>
      <c r="T319" s="60" t="b">
        <v>0</v>
      </c>
      <c r="U319" s="60" t="b">
        <v>0</v>
      </c>
      <c r="V319" s="60" t="b">
        <v>0</v>
      </c>
      <c r="W319" s="60" t="b">
        <v>0</v>
      </c>
    </row>
    <row r="320" spans="1:23" ht="14" x14ac:dyDescent="0.15">
      <c r="A320" s="62" t="s">
        <v>908</v>
      </c>
      <c r="B320" s="62" t="s">
        <v>66</v>
      </c>
      <c r="C320" s="64" t="s">
        <v>854</v>
      </c>
      <c r="D320" s="66" t="s">
        <v>870</v>
      </c>
      <c r="E320" s="64" t="s">
        <v>896</v>
      </c>
      <c r="F320" s="67" t="s">
        <v>909</v>
      </c>
      <c r="G320" s="60" t="s">
        <v>114</v>
      </c>
      <c r="H320" s="60" t="b">
        <v>0</v>
      </c>
      <c r="I320" s="60" t="b">
        <v>0</v>
      </c>
      <c r="J320" s="60" t="b">
        <v>1</v>
      </c>
      <c r="K320" s="60" t="b">
        <v>0</v>
      </c>
      <c r="L320" s="60" t="b">
        <v>0</v>
      </c>
      <c r="M320" s="60" t="b">
        <v>0</v>
      </c>
      <c r="N320" s="60" t="b">
        <v>0</v>
      </c>
      <c r="O320" s="60" t="b">
        <v>0</v>
      </c>
      <c r="P320" s="60" t="b">
        <v>0</v>
      </c>
      <c r="Q320" s="60" t="b">
        <v>0</v>
      </c>
      <c r="R320" s="60" t="b">
        <v>0</v>
      </c>
      <c r="S320" s="60" t="b">
        <v>0</v>
      </c>
      <c r="T320" s="60" t="b">
        <v>0</v>
      </c>
      <c r="U320" s="60" t="b">
        <v>0</v>
      </c>
      <c r="V320" s="60" t="b">
        <v>0</v>
      </c>
      <c r="W320" s="60" t="b">
        <v>0</v>
      </c>
    </row>
    <row r="321" spans="1:23" ht="84" x14ac:dyDescent="0.15">
      <c r="A321" s="62" t="s">
        <v>910</v>
      </c>
      <c r="B321" s="62" t="s">
        <v>66</v>
      </c>
      <c r="C321" s="64" t="s">
        <v>854</v>
      </c>
      <c r="D321" s="66" t="s">
        <v>870</v>
      </c>
      <c r="E321" s="64" t="s">
        <v>896</v>
      </c>
      <c r="F321" s="67" t="s">
        <v>911</v>
      </c>
      <c r="G321" s="60" t="s">
        <v>114</v>
      </c>
      <c r="H321" s="60" t="b">
        <v>0</v>
      </c>
      <c r="I321" s="60" t="b">
        <v>0</v>
      </c>
      <c r="J321" s="60" t="b">
        <v>1</v>
      </c>
      <c r="K321" s="60" t="b">
        <v>0</v>
      </c>
      <c r="L321" s="60" t="b">
        <v>0</v>
      </c>
      <c r="M321" s="60" t="b">
        <v>0</v>
      </c>
      <c r="N321" s="60" t="b">
        <v>0</v>
      </c>
      <c r="O321" s="60" t="b">
        <v>0</v>
      </c>
      <c r="P321" s="60" t="b">
        <v>0</v>
      </c>
      <c r="Q321" s="60" t="b">
        <v>0</v>
      </c>
      <c r="R321" s="60" t="b">
        <v>0</v>
      </c>
      <c r="S321" s="60" t="b">
        <v>0</v>
      </c>
      <c r="T321" s="60" t="b">
        <v>0</v>
      </c>
      <c r="U321" s="60" t="b">
        <v>0</v>
      </c>
      <c r="V321" s="60" t="b">
        <v>0</v>
      </c>
      <c r="W321" s="60" t="b">
        <v>0</v>
      </c>
    </row>
    <row r="322" spans="1:23" ht="28" x14ac:dyDescent="0.15">
      <c r="A322" s="62" t="s">
        <v>912</v>
      </c>
      <c r="B322" s="62" t="s">
        <v>66</v>
      </c>
      <c r="C322" s="64" t="s">
        <v>854</v>
      </c>
      <c r="D322" s="66" t="s">
        <v>870</v>
      </c>
      <c r="E322" s="64" t="s">
        <v>896</v>
      </c>
      <c r="F322" s="67" t="s">
        <v>913</v>
      </c>
      <c r="G322" s="60" t="s">
        <v>114</v>
      </c>
      <c r="H322" s="60" t="b">
        <v>0</v>
      </c>
      <c r="I322" s="60" t="b">
        <v>0</v>
      </c>
      <c r="J322" s="60" t="b">
        <v>1</v>
      </c>
      <c r="K322" s="60" t="b">
        <v>0</v>
      </c>
      <c r="L322" s="60" t="b">
        <v>0</v>
      </c>
      <c r="M322" s="60" t="b">
        <v>0</v>
      </c>
      <c r="N322" s="60" t="b">
        <v>0</v>
      </c>
      <c r="O322" s="60" t="b">
        <v>0</v>
      </c>
      <c r="P322" s="60" t="b">
        <v>0</v>
      </c>
      <c r="Q322" s="60" t="b">
        <v>0</v>
      </c>
      <c r="R322" s="60" t="b">
        <v>0</v>
      </c>
      <c r="S322" s="60" t="b">
        <v>0</v>
      </c>
      <c r="T322" s="60" t="b">
        <v>0</v>
      </c>
      <c r="U322" s="60" t="b">
        <v>0</v>
      </c>
      <c r="V322" s="60" t="b">
        <v>0</v>
      </c>
      <c r="W322" s="60" t="b">
        <v>0</v>
      </c>
    </row>
    <row r="323" spans="1:23" ht="14" x14ac:dyDescent="0.15">
      <c r="A323" s="62" t="s">
        <v>914</v>
      </c>
      <c r="B323" s="62" t="s">
        <v>66</v>
      </c>
      <c r="C323" s="64" t="s">
        <v>854</v>
      </c>
      <c r="D323" s="66" t="s">
        <v>870</v>
      </c>
      <c r="E323" s="64" t="s">
        <v>896</v>
      </c>
      <c r="F323" s="67" t="s">
        <v>915</v>
      </c>
      <c r="G323" s="60" t="s">
        <v>114</v>
      </c>
      <c r="H323" s="60" t="b">
        <v>0</v>
      </c>
      <c r="I323" s="60" t="b">
        <v>0</v>
      </c>
      <c r="J323" s="60" t="b">
        <v>1</v>
      </c>
      <c r="K323" s="60" t="b">
        <v>0</v>
      </c>
      <c r="L323" s="60" t="b">
        <v>0</v>
      </c>
      <c r="M323" s="60" t="b">
        <v>0</v>
      </c>
      <c r="N323" s="60" t="b">
        <v>0</v>
      </c>
      <c r="O323" s="60" t="b">
        <v>0</v>
      </c>
      <c r="P323" s="60" t="b">
        <v>0</v>
      </c>
      <c r="Q323" s="60" t="b">
        <v>0</v>
      </c>
      <c r="R323" s="60" t="b">
        <v>0</v>
      </c>
      <c r="S323" s="60" t="b">
        <v>0</v>
      </c>
      <c r="T323" s="60" t="b">
        <v>0</v>
      </c>
      <c r="U323" s="60" t="b">
        <v>0</v>
      </c>
      <c r="V323" s="60" t="b">
        <v>0</v>
      </c>
      <c r="W323" s="60" t="b">
        <v>0</v>
      </c>
    </row>
    <row r="324" spans="1:23" ht="42" x14ac:dyDescent="0.15">
      <c r="A324" s="62" t="s">
        <v>916</v>
      </c>
      <c r="B324" s="62" t="s">
        <v>66</v>
      </c>
      <c r="C324" s="64" t="s">
        <v>854</v>
      </c>
      <c r="D324" s="66" t="s">
        <v>870</v>
      </c>
      <c r="E324" s="64" t="s">
        <v>896</v>
      </c>
      <c r="F324" s="67" t="s">
        <v>917</v>
      </c>
      <c r="G324" s="60" t="s">
        <v>114</v>
      </c>
      <c r="H324" s="60" t="b">
        <v>0</v>
      </c>
      <c r="I324" s="60" t="b">
        <v>0</v>
      </c>
      <c r="J324" s="60" t="b">
        <v>1</v>
      </c>
      <c r="K324" s="60" t="b">
        <v>0</v>
      </c>
      <c r="L324" s="60" t="b">
        <v>0</v>
      </c>
      <c r="M324" s="60" t="b">
        <v>0</v>
      </c>
      <c r="N324" s="60" t="b">
        <v>0</v>
      </c>
      <c r="O324" s="60" t="b">
        <v>0</v>
      </c>
      <c r="P324" s="60" t="b">
        <v>0</v>
      </c>
      <c r="Q324" s="60" t="b">
        <v>0</v>
      </c>
      <c r="R324" s="60" t="b">
        <v>0</v>
      </c>
      <c r="S324" s="60" t="b">
        <v>0</v>
      </c>
      <c r="T324" s="60" t="b">
        <v>0</v>
      </c>
      <c r="U324" s="60" t="b">
        <v>0</v>
      </c>
      <c r="V324" s="60" t="b">
        <v>0</v>
      </c>
      <c r="W324" s="60" t="b">
        <v>0</v>
      </c>
    </row>
    <row r="325" spans="1:23" ht="28" x14ac:dyDescent="0.15">
      <c r="A325" s="62" t="s">
        <v>918</v>
      </c>
      <c r="B325" s="62" t="s">
        <v>66</v>
      </c>
      <c r="C325" s="64" t="s">
        <v>854</v>
      </c>
      <c r="D325" s="66" t="s">
        <v>870</v>
      </c>
      <c r="E325" s="64" t="s">
        <v>896</v>
      </c>
      <c r="F325" s="67" t="s">
        <v>919</v>
      </c>
      <c r="G325" s="60" t="s">
        <v>114</v>
      </c>
      <c r="H325" s="60" t="b">
        <v>0</v>
      </c>
      <c r="I325" s="60" t="b">
        <v>0</v>
      </c>
      <c r="J325" s="60" t="b">
        <v>1</v>
      </c>
      <c r="K325" s="60" t="b">
        <v>0</v>
      </c>
      <c r="L325" s="60" t="b">
        <v>0</v>
      </c>
      <c r="M325" s="60" t="b">
        <v>0</v>
      </c>
      <c r="N325" s="60" t="b">
        <v>0</v>
      </c>
      <c r="O325" s="60" t="b">
        <v>0</v>
      </c>
      <c r="P325" s="60" t="b">
        <v>0</v>
      </c>
      <c r="Q325" s="60" t="b">
        <v>0</v>
      </c>
      <c r="R325" s="60" t="b">
        <v>0</v>
      </c>
      <c r="S325" s="60" t="b">
        <v>0</v>
      </c>
      <c r="T325" s="60" t="b">
        <v>0</v>
      </c>
      <c r="U325" s="60" t="b">
        <v>0</v>
      </c>
      <c r="V325" s="60" t="b">
        <v>0</v>
      </c>
      <c r="W325" s="60" t="b">
        <v>0</v>
      </c>
    </row>
    <row r="326" spans="1:23" ht="56" x14ac:dyDescent="0.15">
      <c r="A326" s="62" t="s">
        <v>920</v>
      </c>
      <c r="B326" s="62" t="s">
        <v>66</v>
      </c>
      <c r="C326" s="64" t="s">
        <v>854</v>
      </c>
      <c r="D326" s="66" t="s">
        <v>870</v>
      </c>
      <c r="E326" s="64" t="s">
        <v>896</v>
      </c>
      <c r="F326" s="67" t="s">
        <v>921</v>
      </c>
      <c r="G326" s="60" t="s">
        <v>114</v>
      </c>
      <c r="H326" s="60" t="b">
        <v>0</v>
      </c>
      <c r="I326" s="60" t="b">
        <v>0</v>
      </c>
      <c r="J326" s="60" t="b">
        <v>1</v>
      </c>
      <c r="K326" s="60" t="b">
        <v>0</v>
      </c>
      <c r="L326" s="60" t="b">
        <v>0</v>
      </c>
      <c r="M326" s="60" t="b">
        <v>0</v>
      </c>
      <c r="N326" s="60" t="b">
        <v>0</v>
      </c>
      <c r="O326" s="60" t="b">
        <v>0</v>
      </c>
      <c r="P326" s="60" t="b">
        <v>0</v>
      </c>
      <c r="Q326" s="60" t="b">
        <v>0</v>
      </c>
      <c r="R326" s="60" t="b">
        <v>0</v>
      </c>
      <c r="S326" s="60" t="b">
        <v>0</v>
      </c>
      <c r="T326" s="60" t="b">
        <v>0</v>
      </c>
      <c r="U326" s="60" t="b">
        <v>0</v>
      </c>
      <c r="V326" s="60" t="b">
        <v>0</v>
      </c>
      <c r="W326" s="60" t="b">
        <v>0</v>
      </c>
    </row>
    <row r="327" spans="1:23" ht="14" x14ac:dyDescent="0.15">
      <c r="A327" s="62" t="s">
        <v>922</v>
      </c>
      <c r="B327" s="62" t="s">
        <v>66</v>
      </c>
      <c r="C327" s="64" t="s">
        <v>854</v>
      </c>
      <c r="D327" s="66" t="s">
        <v>870</v>
      </c>
      <c r="E327" s="64" t="s">
        <v>711</v>
      </c>
      <c r="F327" s="67" t="s">
        <v>923</v>
      </c>
      <c r="G327" s="60"/>
      <c r="H327" s="60" t="b">
        <v>0</v>
      </c>
      <c r="I327" s="60" t="b">
        <v>0</v>
      </c>
      <c r="J327" s="60" t="b">
        <v>0</v>
      </c>
      <c r="K327" s="60" t="b">
        <v>0</v>
      </c>
      <c r="L327" s="60" t="b">
        <v>0</v>
      </c>
      <c r="M327" s="60" t="b">
        <v>0</v>
      </c>
      <c r="N327" s="60" t="b">
        <v>0</v>
      </c>
      <c r="O327" s="60" t="b">
        <v>0</v>
      </c>
      <c r="P327" s="60" t="b">
        <v>0</v>
      </c>
      <c r="Q327" s="60" t="b">
        <v>0</v>
      </c>
      <c r="R327" s="60" t="b">
        <v>0</v>
      </c>
      <c r="S327" s="60" t="b">
        <v>0</v>
      </c>
      <c r="T327" s="60" t="b">
        <v>0</v>
      </c>
      <c r="U327" s="60" t="b">
        <v>0</v>
      </c>
      <c r="V327" s="60" t="b">
        <v>0</v>
      </c>
      <c r="W327" s="60" t="b">
        <v>0</v>
      </c>
    </row>
    <row r="328" spans="1:23" ht="42" x14ac:dyDescent="0.15">
      <c r="A328" s="62" t="s">
        <v>924</v>
      </c>
      <c r="B328" s="62" t="s">
        <v>66</v>
      </c>
      <c r="C328" s="64" t="s">
        <v>854</v>
      </c>
      <c r="D328" s="66" t="s">
        <v>870</v>
      </c>
      <c r="E328" s="64" t="s">
        <v>711</v>
      </c>
      <c r="F328" s="67" t="s">
        <v>925</v>
      </c>
      <c r="G328" s="60"/>
      <c r="H328" s="60" t="b">
        <v>0</v>
      </c>
      <c r="I328" s="60" t="b">
        <v>0</v>
      </c>
      <c r="J328" s="60" t="b">
        <v>0</v>
      </c>
      <c r="K328" s="60" t="b">
        <v>0</v>
      </c>
      <c r="L328" s="60" t="b">
        <v>0</v>
      </c>
      <c r="M328" s="60" t="b">
        <v>0</v>
      </c>
      <c r="N328" s="60" t="b">
        <v>0</v>
      </c>
      <c r="O328" s="60" t="b">
        <v>0</v>
      </c>
      <c r="P328" s="60" t="b">
        <v>0</v>
      </c>
      <c r="Q328" s="60" t="b">
        <v>0</v>
      </c>
      <c r="R328" s="60" t="b">
        <v>0</v>
      </c>
      <c r="S328" s="60" t="b">
        <v>0</v>
      </c>
      <c r="T328" s="60" t="b">
        <v>0</v>
      </c>
      <c r="U328" s="60" t="b">
        <v>0</v>
      </c>
      <c r="V328" s="60" t="b">
        <v>0</v>
      </c>
      <c r="W328" s="60" t="b">
        <v>0</v>
      </c>
    </row>
    <row r="329" spans="1:23" ht="42" x14ac:dyDescent="0.15">
      <c r="A329" s="62" t="s">
        <v>926</v>
      </c>
      <c r="B329" s="62" t="s">
        <v>66</v>
      </c>
      <c r="C329" s="64" t="s">
        <v>854</v>
      </c>
      <c r="D329" s="66" t="s">
        <v>927</v>
      </c>
      <c r="E329" s="64" t="s">
        <v>928</v>
      </c>
      <c r="F329" s="67" t="s">
        <v>929</v>
      </c>
      <c r="G329" s="60" t="s">
        <v>8</v>
      </c>
      <c r="H329" s="60" t="b">
        <v>0</v>
      </c>
      <c r="I329" s="60" t="b">
        <v>0</v>
      </c>
      <c r="J329" s="60" t="b">
        <v>0</v>
      </c>
      <c r="K329" s="60" t="b">
        <v>0</v>
      </c>
      <c r="L329" s="60" t="b">
        <v>0</v>
      </c>
      <c r="M329" s="60" t="b">
        <v>0</v>
      </c>
      <c r="N329" s="60" t="b">
        <v>0</v>
      </c>
      <c r="O329" s="60" t="b">
        <v>0</v>
      </c>
      <c r="P329" s="60" t="b">
        <v>0</v>
      </c>
      <c r="Q329" s="60" t="b">
        <v>0</v>
      </c>
      <c r="R329" s="60" t="b">
        <v>0</v>
      </c>
      <c r="S329" s="60" t="b">
        <v>0</v>
      </c>
      <c r="T329" s="60" t="b">
        <v>0</v>
      </c>
      <c r="U329" s="60" t="b">
        <v>0</v>
      </c>
      <c r="V329" s="60" t="b">
        <v>0</v>
      </c>
      <c r="W329" s="60" t="b">
        <v>0</v>
      </c>
    </row>
    <row r="330" spans="1:23" ht="28" x14ac:dyDescent="0.15">
      <c r="A330" s="62" t="s">
        <v>930</v>
      </c>
      <c r="B330" s="62" t="s">
        <v>66</v>
      </c>
      <c r="C330" s="64" t="s">
        <v>854</v>
      </c>
      <c r="D330" s="66" t="s">
        <v>927</v>
      </c>
      <c r="E330" s="64" t="s">
        <v>928</v>
      </c>
      <c r="F330" s="67" t="s">
        <v>931</v>
      </c>
      <c r="G330" s="60" t="s">
        <v>8</v>
      </c>
      <c r="H330" s="60" t="b">
        <v>0</v>
      </c>
      <c r="I330" s="60" t="b">
        <v>0</v>
      </c>
      <c r="J330" s="60" t="b">
        <v>0</v>
      </c>
      <c r="K330" s="60" t="b">
        <v>0</v>
      </c>
      <c r="L330" s="60" t="b">
        <v>0</v>
      </c>
      <c r="M330" s="60" t="b">
        <v>0</v>
      </c>
      <c r="N330" s="60" t="b">
        <v>0</v>
      </c>
      <c r="O330" s="60" t="b">
        <v>0</v>
      </c>
      <c r="P330" s="60" t="b">
        <v>0</v>
      </c>
      <c r="Q330" s="60" t="b">
        <v>0</v>
      </c>
      <c r="R330" s="60" t="b">
        <v>0</v>
      </c>
      <c r="S330" s="60" t="b">
        <v>0</v>
      </c>
      <c r="T330" s="60" t="b">
        <v>0</v>
      </c>
      <c r="U330" s="60" t="b">
        <v>0</v>
      </c>
      <c r="V330" s="60" t="b">
        <v>0</v>
      </c>
      <c r="W330" s="60" t="b">
        <v>0</v>
      </c>
    </row>
    <row r="331" spans="1:23" ht="28" x14ac:dyDescent="0.15">
      <c r="A331" s="62" t="s">
        <v>932</v>
      </c>
      <c r="B331" s="62" t="s">
        <v>66</v>
      </c>
      <c r="C331" s="64" t="s">
        <v>854</v>
      </c>
      <c r="D331" s="66" t="s">
        <v>927</v>
      </c>
      <c r="E331" s="64" t="s">
        <v>928</v>
      </c>
      <c r="F331" s="67" t="s">
        <v>933</v>
      </c>
      <c r="G331" s="60" t="s">
        <v>8</v>
      </c>
      <c r="H331" s="60" t="b">
        <v>0</v>
      </c>
      <c r="I331" s="60" t="b">
        <v>0</v>
      </c>
      <c r="J331" s="60" t="b">
        <v>0</v>
      </c>
      <c r="K331" s="60" t="b">
        <v>0</v>
      </c>
      <c r="L331" s="60" t="b">
        <v>0</v>
      </c>
      <c r="M331" s="60" t="b">
        <v>0</v>
      </c>
      <c r="N331" s="60" t="b">
        <v>0</v>
      </c>
      <c r="O331" s="60" t="b">
        <v>0</v>
      </c>
      <c r="P331" s="60" t="b">
        <v>0</v>
      </c>
      <c r="Q331" s="60" t="b">
        <v>0</v>
      </c>
      <c r="R331" s="60" t="b">
        <v>0</v>
      </c>
      <c r="S331" s="60" t="b">
        <v>0</v>
      </c>
      <c r="T331" s="60" t="b">
        <v>0</v>
      </c>
      <c r="U331" s="60" t="b">
        <v>0</v>
      </c>
      <c r="V331" s="60" t="b">
        <v>0</v>
      </c>
      <c r="W331" s="60" t="b">
        <v>0</v>
      </c>
    </row>
    <row r="332" spans="1:23" ht="98" x14ac:dyDescent="0.15">
      <c r="A332" s="62" t="s">
        <v>934</v>
      </c>
      <c r="B332" s="62" t="s">
        <v>66</v>
      </c>
      <c r="C332" s="64" t="s">
        <v>854</v>
      </c>
      <c r="D332" s="66" t="s">
        <v>927</v>
      </c>
      <c r="E332" s="64" t="s">
        <v>928</v>
      </c>
      <c r="F332" s="67" t="s">
        <v>935</v>
      </c>
      <c r="G332" s="60" t="s">
        <v>8</v>
      </c>
      <c r="H332" s="60" t="b">
        <v>0</v>
      </c>
      <c r="I332" s="60" t="b">
        <v>0</v>
      </c>
      <c r="J332" s="60" t="b">
        <v>0</v>
      </c>
      <c r="K332" s="60" t="b">
        <v>0</v>
      </c>
      <c r="L332" s="60" t="b">
        <v>0</v>
      </c>
      <c r="M332" s="60" t="b">
        <v>0</v>
      </c>
      <c r="N332" s="60" t="b">
        <v>0</v>
      </c>
      <c r="O332" s="60" t="b">
        <v>0</v>
      </c>
      <c r="P332" s="60" t="b">
        <v>0</v>
      </c>
      <c r="Q332" s="60" t="b">
        <v>0</v>
      </c>
      <c r="R332" s="60" t="b">
        <v>0</v>
      </c>
      <c r="S332" s="60" t="b">
        <v>0</v>
      </c>
      <c r="T332" s="60" t="b">
        <v>0</v>
      </c>
      <c r="U332" s="60" t="b">
        <v>0</v>
      </c>
      <c r="V332" s="60" t="b">
        <v>0</v>
      </c>
      <c r="W332" s="60" t="b">
        <v>0</v>
      </c>
    </row>
    <row r="333" spans="1:23" ht="84" x14ac:dyDescent="0.15">
      <c r="A333" s="62" t="s">
        <v>936</v>
      </c>
      <c r="B333" s="62" t="s">
        <v>66</v>
      </c>
      <c r="C333" s="64" t="s">
        <v>854</v>
      </c>
      <c r="D333" s="66" t="s">
        <v>927</v>
      </c>
      <c r="E333" s="64" t="s">
        <v>928</v>
      </c>
      <c r="F333" s="67" t="s">
        <v>937</v>
      </c>
      <c r="G333" s="60" t="s">
        <v>368</v>
      </c>
      <c r="H333" s="60" t="b">
        <v>0</v>
      </c>
      <c r="I333" s="60" t="b">
        <v>1</v>
      </c>
      <c r="J333" s="60" t="b">
        <v>0</v>
      </c>
      <c r="K333" s="60" t="b">
        <v>0</v>
      </c>
      <c r="L333" s="60" t="b">
        <v>0</v>
      </c>
      <c r="M333" s="60" t="b">
        <v>0</v>
      </c>
      <c r="N333" s="60" t="b">
        <v>0</v>
      </c>
      <c r="O333" s="60" t="b">
        <v>0</v>
      </c>
      <c r="P333" s="60" t="b">
        <v>0</v>
      </c>
      <c r="Q333" s="60" t="b">
        <v>0</v>
      </c>
      <c r="R333" s="60" t="b">
        <v>0</v>
      </c>
      <c r="S333" s="60" t="b">
        <v>0</v>
      </c>
      <c r="T333" s="60" t="b">
        <v>0</v>
      </c>
      <c r="U333" s="60" t="b">
        <v>0</v>
      </c>
      <c r="V333" s="60" t="b">
        <v>0</v>
      </c>
      <c r="W333" s="60" t="b">
        <v>0</v>
      </c>
    </row>
    <row r="334" spans="1:23" ht="14" x14ac:dyDescent="0.15">
      <c r="A334" s="62" t="s">
        <v>938</v>
      </c>
      <c r="B334" s="62" t="s">
        <v>66</v>
      </c>
      <c r="C334" s="64" t="s">
        <v>854</v>
      </c>
      <c r="D334" s="66" t="s">
        <v>927</v>
      </c>
      <c r="E334" s="64" t="s">
        <v>928</v>
      </c>
      <c r="F334" s="67" t="s">
        <v>939</v>
      </c>
      <c r="G334" s="60" t="s">
        <v>8</v>
      </c>
      <c r="H334" s="60" t="b">
        <v>0</v>
      </c>
      <c r="I334" s="60" t="b">
        <v>0</v>
      </c>
      <c r="J334" s="60" t="b">
        <v>0</v>
      </c>
      <c r="K334" s="60" t="b">
        <v>0</v>
      </c>
      <c r="L334" s="60" t="b">
        <v>0</v>
      </c>
      <c r="M334" s="60" t="b">
        <v>0</v>
      </c>
      <c r="N334" s="60" t="b">
        <v>0</v>
      </c>
      <c r="O334" s="60" t="b">
        <v>0</v>
      </c>
      <c r="P334" s="60" t="b">
        <v>0</v>
      </c>
      <c r="Q334" s="60" t="b">
        <v>0</v>
      </c>
      <c r="R334" s="60" t="b">
        <v>0</v>
      </c>
      <c r="S334" s="60" t="b">
        <v>0</v>
      </c>
      <c r="T334" s="60" t="b">
        <v>0</v>
      </c>
      <c r="U334" s="60" t="b">
        <v>0</v>
      </c>
      <c r="V334" s="60" t="b">
        <v>0</v>
      </c>
      <c r="W334" s="60" t="b">
        <v>0</v>
      </c>
    </row>
    <row r="335" spans="1:23" ht="84" x14ac:dyDescent="0.15">
      <c r="A335" s="62" t="s">
        <v>940</v>
      </c>
      <c r="B335" s="62" t="s">
        <v>66</v>
      </c>
      <c r="C335" s="64" t="s">
        <v>854</v>
      </c>
      <c r="D335" s="66" t="s">
        <v>927</v>
      </c>
      <c r="E335" s="64" t="s">
        <v>941</v>
      </c>
      <c r="F335" s="67" t="s">
        <v>942</v>
      </c>
      <c r="G335" s="60" t="s">
        <v>8</v>
      </c>
      <c r="H335" s="60" t="b">
        <v>0</v>
      </c>
      <c r="I335" s="60" t="b">
        <v>0</v>
      </c>
      <c r="J335" s="60" t="b">
        <v>0</v>
      </c>
      <c r="K335" s="60" t="b">
        <v>0</v>
      </c>
      <c r="L335" s="60" t="b">
        <v>0</v>
      </c>
      <c r="M335" s="60" t="b">
        <v>0</v>
      </c>
      <c r="N335" s="60" t="b">
        <v>0</v>
      </c>
      <c r="O335" s="60" t="b">
        <v>0</v>
      </c>
      <c r="P335" s="60" t="b">
        <v>0</v>
      </c>
      <c r="Q335" s="60" t="b">
        <v>0</v>
      </c>
      <c r="R335" s="60" t="b">
        <v>0</v>
      </c>
      <c r="S335" s="60" t="b">
        <v>0</v>
      </c>
      <c r="T335" s="60" t="b">
        <v>0</v>
      </c>
      <c r="U335" s="60" t="b">
        <v>0</v>
      </c>
      <c r="V335" s="60" t="b">
        <v>0</v>
      </c>
      <c r="W335" s="60" t="b">
        <v>0</v>
      </c>
    </row>
    <row r="336" spans="1:23" ht="28" x14ac:dyDescent="0.15">
      <c r="A336" s="62" t="s">
        <v>943</v>
      </c>
      <c r="B336" s="62" t="s">
        <v>66</v>
      </c>
      <c r="C336" s="64" t="s">
        <v>854</v>
      </c>
      <c r="D336" s="66" t="s">
        <v>927</v>
      </c>
      <c r="E336" s="64" t="s">
        <v>941</v>
      </c>
      <c r="F336" s="67" t="s">
        <v>944</v>
      </c>
      <c r="G336" s="60" t="s">
        <v>393</v>
      </c>
      <c r="H336" s="60" t="b">
        <v>0</v>
      </c>
      <c r="I336" s="60" t="b">
        <v>0</v>
      </c>
      <c r="J336" s="60" t="b">
        <v>0</v>
      </c>
      <c r="K336" s="60" t="b">
        <v>0</v>
      </c>
      <c r="L336" s="60" t="b">
        <v>0</v>
      </c>
      <c r="M336" s="60" t="b">
        <v>0</v>
      </c>
      <c r="N336" s="60" t="b">
        <v>0</v>
      </c>
      <c r="O336" s="60" t="b">
        <v>0</v>
      </c>
      <c r="P336" s="60" t="b">
        <v>0</v>
      </c>
      <c r="Q336" s="60" t="b">
        <v>0</v>
      </c>
      <c r="R336" s="60" t="b">
        <v>0</v>
      </c>
      <c r="S336" s="60" t="b">
        <v>0</v>
      </c>
      <c r="T336" s="60" t="b">
        <v>0</v>
      </c>
      <c r="U336" s="60" t="b">
        <v>0</v>
      </c>
      <c r="V336" s="60" t="b">
        <v>0</v>
      </c>
      <c r="W336" s="60" t="b">
        <v>0</v>
      </c>
    </row>
    <row r="337" spans="1:23" ht="28" x14ac:dyDescent="0.15">
      <c r="A337" s="62" t="s">
        <v>945</v>
      </c>
      <c r="B337" s="62" t="s">
        <v>66</v>
      </c>
      <c r="C337" s="64" t="s">
        <v>854</v>
      </c>
      <c r="D337" s="66" t="s">
        <v>927</v>
      </c>
      <c r="E337" s="64" t="s">
        <v>941</v>
      </c>
      <c r="F337" s="67" t="s">
        <v>946</v>
      </c>
      <c r="G337" s="60" t="s">
        <v>8</v>
      </c>
      <c r="H337" s="60" t="b">
        <v>0</v>
      </c>
      <c r="I337" s="60" t="b">
        <v>0</v>
      </c>
      <c r="J337" s="60" t="b">
        <v>0</v>
      </c>
      <c r="K337" s="60" t="b">
        <v>0</v>
      </c>
      <c r="L337" s="60" t="b">
        <v>0</v>
      </c>
      <c r="M337" s="60" t="b">
        <v>0</v>
      </c>
      <c r="N337" s="60" t="b">
        <v>0</v>
      </c>
      <c r="O337" s="60" t="b">
        <v>0</v>
      </c>
      <c r="P337" s="60" t="b">
        <v>0</v>
      </c>
      <c r="Q337" s="60" t="b">
        <v>0</v>
      </c>
      <c r="R337" s="60" t="b">
        <v>0</v>
      </c>
      <c r="S337" s="60" t="b">
        <v>0</v>
      </c>
      <c r="T337" s="60" t="b">
        <v>0</v>
      </c>
      <c r="U337" s="60" t="b">
        <v>0</v>
      </c>
      <c r="V337" s="60" t="b">
        <v>0</v>
      </c>
      <c r="W337" s="60" t="b">
        <v>0</v>
      </c>
    </row>
    <row r="338" spans="1:23" ht="28" x14ac:dyDescent="0.15">
      <c r="A338" s="62" t="s">
        <v>947</v>
      </c>
      <c r="B338" s="62" t="s">
        <v>66</v>
      </c>
      <c r="C338" s="64" t="s">
        <v>854</v>
      </c>
      <c r="D338" s="66" t="s">
        <v>927</v>
      </c>
      <c r="E338" s="64" t="s">
        <v>941</v>
      </c>
      <c r="F338" s="67" t="s">
        <v>948</v>
      </c>
      <c r="G338" s="60" t="s">
        <v>8</v>
      </c>
      <c r="H338" s="60" t="b">
        <v>0</v>
      </c>
      <c r="I338" s="60" t="b">
        <v>0</v>
      </c>
      <c r="J338" s="60" t="b">
        <v>0</v>
      </c>
      <c r="K338" s="60" t="b">
        <v>0</v>
      </c>
      <c r="L338" s="60" t="b">
        <v>0</v>
      </c>
      <c r="M338" s="60" t="b">
        <v>0</v>
      </c>
      <c r="N338" s="60" t="b">
        <v>0</v>
      </c>
      <c r="O338" s="60" t="b">
        <v>0</v>
      </c>
      <c r="P338" s="60" t="b">
        <v>0</v>
      </c>
      <c r="Q338" s="60" t="b">
        <v>0</v>
      </c>
      <c r="R338" s="60" t="b">
        <v>0</v>
      </c>
      <c r="S338" s="60" t="b">
        <v>0</v>
      </c>
      <c r="T338" s="60" t="b">
        <v>0</v>
      </c>
      <c r="U338" s="60" t="b">
        <v>0</v>
      </c>
      <c r="V338" s="60" t="b">
        <v>0</v>
      </c>
      <c r="W338" s="60" t="b">
        <v>0</v>
      </c>
    </row>
    <row r="339" spans="1:23" ht="140" x14ac:dyDescent="0.15">
      <c r="A339" s="62" t="s">
        <v>949</v>
      </c>
      <c r="B339" s="62" t="s">
        <v>66</v>
      </c>
      <c r="C339" s="64" t="s">
        <v>854</v>
      </c>
      <c r="D339" s="66" t="s">
        <v>927</v>
      </c>
      <c r="E339" s="64" t="s">
        <v>941</v>
      </c>
      <c r="F339" s="67" t="s">
        <v>950</v>
      </c>
      <c r="G339" s="60" t="s">
        <v>8</v>
      </c>
      <c r="H339" s="60" t="b">
        <v>0</v>
      </c>
      <c r="I339" s="60" t="b">
        <v>0</v>
      </c>
      <c r="J339" s="60" t="b">
        <v>0</v>
      </c>
      <c r="K339" s="60" t="b">
        <v>0</v>
      </c>
      <c r="L339" s="60" t="b">
        <v>0</v>
      </c>
      <c r="M339" s="60" t="b">
        <v>0</v>
      </c>
      <c r="N339" s="60" t="b">
        <v>0</v>
      </c>
      <c r="O339" s="60" t="b">
        <v>0</v>
      </c>
      <c r="P339" s="60" t="b">
        <v>0</v>
      </c>
      <c r="Q339" s="60" t="b">
        <v>0</v>
      </c>
      <c r="R339" s="60" t="b">
        <v>0</v>
      </c>
      <c r="S339" s="60" t="b">
        <v>0</v>
      </c>
      <c r="T339" s="60" t="b">
        <v>0</v>
      </c>
      <c r="U339" s="60" t="b">
        <v>0</v>
      </c>
      <c r="V339" s="60" t="b">
        <v>0</v>
      </c>
      <c r="W339" s="60" t="b">
        <v>0</v>
      </c>
    </row>
    <row r="340" spans="1:23" ht="28" x14ac:dyDescent="0.15">
      <c r="A340" s="62" t="s">
        <v>951</v>
      </c>
      <c r="B340" s="62" t="s">
        <v>66</v>
      </c>
      <c r="C340" s="64" t="s">
        <v>854</v>
      </c>
      <c r="D340" s="66" t="s">
        <v>927</v>
      </c>
      <c r="E340" s="64" t="s">
        <v>941</v>
      </c>
      <c r="F340" s="67" t="s">
        <v>952</v>
      </c>
      <c r="G340" s="60" t="s">
        <v>8</v>
      </c>
      <c r="H340" s="60" t="b">
        <v>0</v>
      </c>
      <c r="I340" s="60" t="b">
        <v>0</v>
      </c>
      <c r="J340" s="60" t="b">
        <v>0</v>
      </c>
      <c r="K340" s="60" t="b">
        <v>0</v>
      </c>
      <c r="L340" s="60" t="b">
        <v>0</v>
      </c>
      <c r="M340" s="60" t="b">
        <v>0</v>
      </c>
      <c r="N340" s="60" t="b">
        <v>0</v>
      </c>
      <c r="O340" s="60" t="b">
        <v>0</v>
      </c>
      <c r="P340" s="60" t="b">
        <v>0</v>
      </c>
      <c r="Q340" s="60" t="b">
        <v>0</v>
      </c>
      <c r="R340" s="60" t="b">
        <v>0</v>
      </c>
      <c r="S340" s="60" t="b">
        <v>0</v>
      </c>
      <c r="T340" s="60" t="b">
        <v>0</v>
      </c>
      <c r="U340" s="60" t="b">
        <v>0</v>
      </c>
      <c r="V340" s="60" t="b">
        <v>0</v>
      </c>
      <c r="W340" s="60" t="b">
        <v>0</v>
      </c>
    </row>
    <row r="341" spans="1:23" ht="112" x14ac:dyDescent="0.15">
      <c r="A341" s="62" t="s">
        <v>953</v>
      </c>
      <c r="B341" s="62" t="s">
        <v>66</v>
      </c>
      <c r="C341" s="64" t="s">
        <v>854</v>
      </c>
      <c r="D341" s="66" t="s">
        <v>954</v>
      </c>
      <c r="E341" s="64" t="s">
        <v>955</v>
      </c>
      <c r="F341" s="67" t="s">
        <v>956</v>
      </c>
      <c r="G341" s="60" t="s">
        <v>393</v>
      </c>
      <c r="H341" s="60" t="b">
        <v>0</v>
      </c>
      <c r="I341" s="60" t="b">
        <v>0</v>
      </c>
      <c r="J341" s="60" t="b">
        <v>0</v>
      </c>
      <c r="K341" s="60" t="b">
        <v>0</v>
      </c>
      <c r="L341" s="60" t="b">
        <v>0</v>
      </c>
      <c r="M341" s="60" t="b">
        <v>0</v>
      </c>
      <c r="N341" s="60" t="b">
        <v>0</v>
      </c>
      <c r="O341" s="60" t="b">
        <v>0</v>
      </c>
      <c r="P341" s="60" t="b">
        <v>0</v>
      </c>
      <c r="Q341" s="60" t="b">
        <v>0</v>
      </c>
      <c r="R341" s="60" t="b">
        <v>0</v>
      </c>
      <c r="S341" s="60" t="b">
        <v>0</v>
      </c>
      <c r="T341" s="60" t="b">
        <v>0</v>
      </c>
      <c r="U341" s="60" t="b">
        <v>0</v>
      </c>
      <c r="V341" s="60" t="b">
        <v>0</v>
      </c>
      <c r="W341" s="60" t="b">
        <v>0</v>
      </c>
    </row>
    <row r="342" spans="1:23" ht="112" x14ac:dyDescent="0.15">
      <c r="A342" s="62" t="s">
        <v>957</v>
      </c>
      <c r="B342" s="62" t="s">
        <v>66</v>
      </c>
      <c r="C342" s="64" t="s">
        <v>854</v>
      </c>
      <c r="D342" s="66" t="s">
        <v>954</v>
      </c>
      <c r="E342" s="64" t="s">
        <v>958</v>
      </c>
      <c r="F342" s="67" t="s">
        <v>959</v>
      </c>
      <c r="G342" s="60" t="s">
        <v>381</v>
      </c>
      <c r="H342" s="60" t="b">
        <v>0</v>
      </c>
      <c r="I342" s="60" t="b">
        <v>0</v>
      </c>
      <c r="J342" s="60" t="b">
        <v>0</v>
      </c>
      <c r="K342" s="60" t="b">
        <v>0</v>
      </c>
      <c r="L342" s="60" t="b">
        <v>0</v>
      </c>
      <c r="M342" s="60" t="b">
        <v>0</v>
      </c>
      <c r="N342" s="60" t="b">
        <v>0</v>
      </c>
      <c r="O342" s="60" t="b">
        <v>0</v>
      </c>
      <c r="P342" s="60" t="b">
        <v>0</v>
      </c>
      <c r="Q342" s="60" t="b">
        <v>0</v>
      </c>
      <c r="R342" s="60" t="b">
        <v>0</v>
      </c>
      <c r="S342" s="60" t="b">
        <v>0</v>
      </c>
      <c r="T342" s="60" t="b">
        <v>0</v>
      </c>
      <c r="U342" s="60" t="b">
        <v>0</v>
      </c>
      <c r="V342" s="60" t="b">
        <v>0</v>
      </c>
      <c r="W342" s="60" t="b">
        <v>0</v>
      </c>
    </row>
    <row r="343" spans="1:23" ht="98" x14ac:dyDescent="0.15">
      <c r="A343" s="62" t="s">
        <v>960</v>
      </c>
      <c r="B343" s="62" t="s">
        <v>66</v>
      </c>
      <c r="C343" s="64" t="s">
        <v>854</v>
      </c>
      <c r="D343" s="66" t="s">
        <v>961</v>
      </c>
      <c r="E343" s="64" t="s">
        <v>79</v>
      </c>
      <c r="F343" s="67" t="s">
        <v>962</v>
      </c>
      <c r="G343" s="60" t="s">
        <v>113</v>
      </c>
      <c r="H343" s="60" t="b">
        <v>0</v>
      </c>
      <c r="I343" s="60" t="b">
        <v>1</v>
      </c>
      <c r="J343" s="60" t="b">
        <v>0</v>
      </c>
      <c r="K343" s="60" t="b">
        <v>0</v>
      </c>
      <c r="L343" s="60" t="b">
        <v>0</v>
      </c>
      <c r="M343" s="60" t="b">
        <v>0</v>
      </c>
      <c r="N343" s="60" t="b">
        <v>0</v>
      </c>
      <c r="O343" s="60" t="b">
        <v>0</v>
      </c>
      <c r="P343" s="60" t="b">
        <v>0</v>
      </c>
      <c r="Q343" s="60" t="b">
        <v>0</v>
      </c>
      <c r="R343" s="60" t="b">
        <v>0</v>
      </c>
      <c r="S343" s="60" t="b">
        <v>0</v>
      </c>
      <c r="T343" s="60" t="b">
        <v>0</v>
      </c>
      <c r="U343" s="60" t="b">
        <v>0</v>
      </c>
      <c r="V343" s="60" t="b">
        <v>0</v>
      </c>
      <c r="W343" s="60" t="b">
        <v>0</v>
      </c>
    </row>
    <row r="344" spans="1:23" ht="28" x14ac:dyDescent="0.15">
      <c r="A344" s="62" t="s">
        <v>963</v>
      </c>
      <c r="B344" s="62" t="s">
        <v>66</v>
      </c>
      <c r="C344" s="64" t="s">
        <v>854</v>
      </c>
      <c r="D344" s="66" t="s">
        <v>961</v>
      </c>
      <c r="E344" s="64" t="s">
        <v>730</v>
      </c>
      <c r="F344" s="67" t="s">
        <v>964</v>
      </c>
      <c r="G344" s="60" t="s">
        <v>113</v>
      </c>
      <c r="H344" s="60" t="b">
        <v>0</v>
      </c>
      <c r="I344" s="60" t="b">
        <v>1</v>
      </c>
      <c r="J344" s="60" t="b">
        <v>0</v>
      </c>
      <c r="K344" s="60" t="b">
        <v>0</v>
      </c>
      <c r="L344" s="60" t="b">
        <v>0</v>
      </c>
      <c r="M344" s="60" t="b">
        <v>0</v>
      </c>
      <c r="N344" s="60" t="b">
        <v>0</v>
      </c>
      <c r="O344" s="60" t="b">
        <v>0</v>
      </c>
      <c r="P344" s="60" t="b">
        <v>0</v>
      </c>
      <c r="Q344" s="60" t="b">
        <v>0</v>
      </c>
      <c r="R344" s="60" t="b">
        <v>0</v>
      </c>
      <c r="S344" s="60" t="b">
        <v>0</v>
      </c>
      <c r="T344" s="60" t="b">
        <v>0</v>
      </c>
      <c r="U344" s="60" t="b">
        <v>0</v>
      </c>
      <c r="V344" s="60" t="b">
        <v>0</v>
      </c>
      <c r="W344" s="60" t="b">
        <v>0</v>
      </c>
    </row>
    <row r="345" spans="1:23" ht="56" x14ac:dyDescent="0.15">
      <c r="A345" s="62" t="s">
        <v>965</v>
      </c>
      <c r="B345" s="62" t="s">
        <v>66</v>
      </c>
      <c r="C345" s="64" t="s">
        <v>854</v>
      </c>
      <c r="D345" s="66" t="s">
        <v>961</v>
      </c>
      <c r="E345" s="64" t="s">
        <v>730</v>
      </c>
      <c r="F345" s="67" t="s">
        <v>966</v>
      </c>
      <c r="G345" s="60" t="s">
        <v>332</v>
      </c>
      <c r="H345" s="60" t="b">
        <v>0</v>
      </c>
      <c r="I345" s="60" t="b">
        <v>0</v>
      </c>
      <c r="J345" s="60" t="b">
        <v>0</v>
      </c>
      <c r="K345" s="60" t="b">
        <v>0</v>
      </c>
      <c r="L345" s="60" t="b">
        <v>0</v>
      </c>
      <c r="M345" s="60" t="b">
        <v>0</v>
      </c>
      <c r="N345" s="60" t="b">
        <v>0</v>
      </c>
      <c r="O345" s="60" t="b">
        <v>0</v>
      </c>
      <c r="P345" s="60" t="b">
        <v>0</v>
      </c>
      <c r="Q345" s="60" t="b">
        <v>0</v>
      </c>
      <c r="R345" s="60" t="b">
        <v>0</v>
      </c>
      <c r="S345" s="60" t="b">
        <v>0</v>
      </c>
      <c r="T345" s="60" t="b">
        <v>0</v>
      </c>
      <c r="U345" s="60" t="b">
        <v>0</v>
      </c>
      <c r="V345" s="60" t="b">
        <v>0</v>
      </c>
      <c r="W345" s="60" t="b">
        <v>0</v>
      </c>
    </row>
    <row r="346" spans="1:23" ht="98" x14ac:dyDescent="0.15">
      <c r="A346" s="62" t="s">
        <v>967</v>
      </c>
      <c r="B346" s="62" t="s">
        <v>66</v>
      </c>
      <c r="C346" s="64" t="s">
        <v>854</v>
      </c>
      <c r="D346" s="66" t="s">
        <v>968</v>
      </c>
      <c r="E346" s="64" t="s">
        <v>969</v>
      </c>
      <c r="F346" s="67" t="s">
        <v>970</v>
      </c>
      <c r="G346" s="60" t="s">
        <v>421</v>
      </c>
      <c r="H346" s="60" t="b">
        <v>0</v>
      </c>
      <c r="I346" s="60" t="b">
        <v>0</v>
      </c>
      <c r="J346" s="60" t="b">
        <v>0</v>
      </c>
      <c r="K346" s="60" t="b">
        <v>0</v>
      </c>
      <c r="L346" s="60" t="b">
        <v>1</v>
      </c>
      <c r="M346" s="60" t="b">
        <v>0</v>
      </c>
      <c r="N346" s="60" t="b">
        <v>0</v>
      </c>
      <c r="O346" s="60" t="b">
        <v>0</v>
      </c>
      <c r="P346" s="60" t="b">
        <v>0</v>
      </c>
      <c r="Q346" s="60" t="b">
        <v>0</v>
      </c>
      <c r="R346" s="60" t="b">
        <v>0</v>
      </c>
      <c r="S346" s="60" t="b">
        <v>0</v>
      </c>
      <c r="T346" s="60" t="b">
        <v>0</v>
      </c>
      <c r="U346" s="60" t="b">
        <v>0</v>
      </c>
      <c r="V346" s="60" t="b">
        <v>0</v>
      </c>
      <c r="W346" s="60" t="b">
        <v>0</v>
      </c>
    </row>
    <row r="347" spans="1:23" ht="84" x14ac:dyDescent="0.15">
      <c r="A347" s="62" t="s">
        <v>971</v>
      </c>
      <c r="B347" s="62" t="s">
        <v>66</v>
      </c>
      <c r="C347" s="64" t="s">
        <v>854</v>
      </c>
      <c r="D347" s="66" t="s">
        <v>968</v>
      </c>
      <c r="E347" s="64" t="s">
        <v>969</v>
      </c>
      <c r="F347" s="67" t="s">
        <v>972</v>
      </c>
      <c r="G347" s="60" t="s">
        <v>116</v>
      </c>
      <c r="H347" s="60" t="b">
        <v>0</v>
      </c>
      <c r="I347" s="60" t="b">
        <v>0</v>
      </c>
      <c r="J347" s="60" t="b">
        <v>0</v>
      </c>
      <c r="K347" s="60" t="b">
        <v>0</v>
      </c>
      <c r="L347" s="60" t="b">
        <v>1</v>
      </c>
      <c r="M347" s="60" t="b">
        <v>0</v>
      </c>
      <c r="N347" s="60" t="b">
        <v>0</v>
      </c>
      <c r="O347" s="60" t="b">
        <v>0</v>
      </c>
      <c r="P347" s="60" t="b">
        <v>0</v>
      </c>
      <c r="Q347" s="60" t="b">
        <v>0</v>
      </c>
      <c r="R347" s="60" t="b">
        <v>0</v>
      </c>
      <c r="S347" s="60" t="b">
        <v>0</v>
      </c>
      <c r="T347" s="60" t="b">
        <v>0</v>
      </c>
      <c r="U347" s="60" t="b">
        <v>0</v>
      </c>
      <c r="V347" s="60" t="b">
        <v>0</v>
      </c>
      <c r="W347" s="60" t="b">
        <v>0</v>
      </c>
    </row>
    <row r="348" spans="1:23" ht="56" x14ac:dyDescent="0.15">
      <c r="A348" s="62" t="s">
        <v>973</v>
      </c>
      <c r="B348" s="62" t="s">
        <v>66</v>
      </c>
      <c r="C348" s="64" t="s">
        <v>974</v>
      </c>
      <c r="D348" s="66" t="s">
        <v>975</v>
      </c>
      <c r="E348" s="64" t="s">
        <v>70</v>
      </c>
      <c r="F348" s="67" t="s">
        <v>976</v>
      </c>
      <c r="G348" s="60" t="s">
        <v>112</v>
      </c>
      <c r="H348" s="60" t="b">
        <v>1</v>
      </c>
      <c r="I348" s="60" t="b">
        <v>0</v>
      </c>
      <c r="J348" s="60" t="b">
        <v>0</v>
      </c>
      <c r="K348" s="60" t="b">
        <v>0</v>
      </c>
      <c r="L348" s="60" t="b">
        <v>0</v>
      </c>
      <c r="M348" s="60" t="b">
        <v>0</v>
      </c>
      <c r="N348" s="60" t="b">
        <v>0</v>
      </c>
      <c r="O348" s="60" t="b">
        <v>0</v>
      </c>
      <c r="P348" s="60" t="b">
        <v>0</v>
      </c>
      <c r="Q348" s="60" t="b">
        <v>0</v>
      </c>
      <c r="R348" s="60" t="b">
        <v>0</v>
      </c>
      <c r="S348" s="60" t="b">
        <v>0</v>
      </c>
      <c r="T348" s="60" t="b">
        <v>0</v>
      </c>
      <c r="U348" s="60" t="b">
        <v>0</v>
      </c>
      <c r="V348" s="60" t="b">
        <v>0</v>
      </c>
      <c r="W348" s="60" t="b">
        <v>0</v>
      </c>
    </row>
    <row r="349" spans="1:23" ht="28" x14ac:dyDescent="0.15">
      <c r="A349" s="62" t="s">
        <v>977</v>
      </c>
      <c r="B349" s="62" t="s">
        <v>66</v>
      </c>
      <c r="C349" s="64" t="s">
        <v>974</v>
      </c>
      <c r="D349" s="66" t="s">
        <v>975</v>
      </c>
      <c r="E349" s="64" t="s">
        <v>978</v>
      </c>
      <c r="F349" s="67" t="s">
        <v>979</v>
      </c>
      <c r="G349" s="60" t="s">
        <v>112</v>
      </c>
      <c r="H349" s="60" t="b">
        <v>1</v>
      </c>
      <c r="I349" s="60" t="b">
        <v>0</v>
      </c>
      <c r="J349" s="60" t="b">
        <v>0</v>
      </c>
      <c r="K349" s="60" t="b">
        <v>0</v>
      </c>
      <c r="L349" s="60" t="b">
        <v>0</v>
      </c>
      <c r="M349" s="60" t="b">
        <v>0</v>
      </c>
      <c r="N349" s="60" t="b">
        <v>0</v>
      </c>
      <c r="O349" s="60" t="b">
        <v>0</v>
      </c>
      <c r="P349" s="60" t="b">
        <v>0</v>
      </c>
      <c r="Q349" s="60" t="b">
        <v>0</v>
      </c>
      <c r="R349" s="60" t="b">
        <v>0</v>
      </c>
      <c r="S349" s="60" t="b">
        <v>0</v>
      </c>
      <c r="T349" s="60" t="b">
        <v>0</v>
      </c>
      <c r="U349" s="60" t="b">
        <v>0</v>
      </c>
      <c r="V349" s="60" t="b">
        <v>0</v>
      </c>
      <c r="W349" s="60" t="b">
        <v>0</v>
      </c>
    </row>
    <row r="350" spans="1:23" ht="28" x14ac:dyDescent="0.15">
      <c r="A350" s="62" t="s">
        <v>980</v>
      </c>
      <c r="B350" s="62" t="s">
        <v>66</v>
      </c>
      <c r="C350" s="64" t="s">
        <v>974</v>
      </c>
      <c r="D350" s="66" t="s">
        <v>975</v>
      </c>
      <c r="E350" s="64" t="s">
        <v>978</v>
      </c>
      <c r="F350" s="67" t="s">
        <v>981</v>
      </c>
      <c r="G350" s="60" t="s">
        <v>123</v>
      </c>
      <c r="H350" s="60" t="b">
        <v>0</v>
      </c>
      <c r="I350" s="60" t="b">
        <v>0</v>
      </c>
      <c r="J350" s="60" t="b">
        <v>0</v>
      </c>
      <c r="K350" s="60" t="b">
        <v>0</v>
      </c>
      <c r="L350" s="60" t="b">
        <v>0</v>
      </c>
      <c r="M350" s="60" t="b">
        <v>0</v>
      </c>
      <c r="N350" s="60" t="b">
        <v>0</v>
      </c>
      <c r="O350" s="60" t="b">
        <v>0</v>
      </c>
      <c r="P350" s="60" t="b">
        <v>0</v>
      </c>
      <c r="Q350" s="60" t="b">
        <v>0</v>
      </c>
      <c r="R350" s="60" t="b">
        <v>0</v>
      </c>
      <c r="S350" s="60" t="b">
        <v>1</v>
      </c>
      <c r="T350" s="60" t="b">
        <v>0</v>
      </c>
      <c r="U350" s="60" t="b">
        <v>0</v>
      </c>
      <c r="V350" s="60" t="b">
        <v>0</v>
      </c>
      <c r="W350" s="60" t="b">
        <v>0</v>
      </c>
    </row>
    <row r="351" spans="1:23" ht="84" x14ac:dyDescent="0.15">
      <c r="A351" s="62" t="s">
        <v>982</v>
      </c>
      <c r="B351" s="62" t="s">
        <v>66</v>
      </c>
      <c r="C351" s="64" t="s">
        <v>974</v>
      </c>
      <c r="D351" s="66" t="s">
        <v>975</v>
      </c>
      <c r="E351" s="64" t="s">
        <v>978</v>
      </c>
      <c r="F351" s="67" t="s">
        <v>983</v>
      </c>
      <c r="G351" s="60" t="s">
        <v>984</v>
      </c>
      <c r="H351" s="60" t="b">
        <v>1</v>
      </c>
      <c r="I351" s="60" t="b">
        <v>0</v>
      </c>
      <c r="J351" s="60" t="b">
        <v>0</v>
      </c>
      <c r="K351" s="60" t="b">
        <v>1</v>
      </c>
      <c r="L351" s="60" t="b">
        <v>0</v>
      </c>
      <c r="M351" s="60" t="b">
        <v>0</v>
      </c>
      <c r="N351" s="60" t="b">
        <v>0</v>
      </c>
      <c r="O351" s="60" t="b">
        <v>0</v>
      </c>
      <c r="P351" s="60" t="b">
        <v>1</v>
      </c>
      <c r="Q351" s="60" t="b">
        <v>1</v>
      </c>
      <c r="R351" s="60" t="b">
        <v>1</v>
      </c>
      <c r="S351" s="60" t="b">
        <v>0</v>
      </c>
      <c r="T351" s="60" t="b">
        <v>0</v>
      </c>
      <c r="U351" s="60" t="b">
        <v>0</v>
      </c>
      <c r="V351" s="60" t="b">
        <v>0</v>
      </c>
      <c r="W351" s="60" t="b">
        <v>0</v>
      </c>
    </row>
    <row r="352" spans="1:23" ht="28" x14ac:dyDescent="0.15">
      <c r="A352" s="62" t="s">
        <v>985</v>
      </c>
      <c r="B352" s="62" t="s">
        <v>66</v>
      </c>
      <c r="C352" s="64" t="s">
        <v>974</v>
      </c>
      <c r="D352" s="66" t="s">
        <v>975</v>
      </c>
      <c r="E352" s="64" t="s">
        <v>978</v>
      </c>
      <c r="F352" s="67" t="s">
        <v>986</v>
      </c>
      <c r="G352" s="60" t="s">
        <v>112</v>
      </c>
      <c r="H352" s="60" t="b">
        <v>1</v>
      </c>
      <c r="I352" s="60" t="b">
        <v>0</v>
      </c>
      <c r="J352" s="60" t="b">
        <v>0</v>
      </c>
      <c r="K352" s="60" t="b">
        <v>0</v>
      </c>
      <c r="L352" s="60" t="b">
        <v>0</v>
      </c>
      <c r="M352" s="60" t="b">
        <v>0</v>
      </c>
      <c r="N352" s="60" t="b">
        <v>0</v>
      </c>
      <c r="O352" s="60" t="b">
        <v>0</v>
      </c>
      <c r="P352" s="60" t="b">
        <v>0</v>
      </c>
      <c r="Q352" s="60" t="b">
        <v>0</v>
      </c>
      <c r="R352" s="60" t="b">
        <v>0</v>
      </c>
      <c r="S352" s="60" t="b">
        <v>0</v>
      </c>
      <c r="T352" s="60" t="b">
        <v>0</v>
      </c>
      <c r="U352" s="60" t="b">
        <v>0</v>
      </c>
      <c r="V352" s="60" t="b">
        <v>0</v>
      </c>
      <c r="W352" s="60" t="b">
        <v>0</v>
      </c>
    </row>
    <row r="353" spans="1:23" ht="28" x14ac:dyDescent="0.15">
      <c r="A353" s="62" t="s">
        <v>987</v>
      </c>
      <c r="B353" s="62" t="s">
        <v>66</v>
      </c>
      <c r="C353" s="64" t="s">
        <v>974</v>
      </c>
      <c r="D353" s="66" t="s">
        <v>975</v>
      </c>
      <c r="E353" s="64" t="s">
        <v>978</v>
      </c>
      <c r="F353" s="67" t="s">
        <v>988</v>
      </c>
      <c r="G353" s="60" t="s">
        <v>112</v>
      </c>
      <c r="H353" s="60" t="b">
        <v>1</v>
      </c>
      <c r="I353" s="60" t="b">
        <v>0</v>
      </c>
      <c r="J353" s="60" t="b">
        <v>0</v>
      </c>
      <c r="K353" s="60" t="b">
        <v>0</v>
      </c>
      <c r="L353" s="60" t="b">
        <v>0</v>
      </c>
      <c r="M353" s="60" t="b">
        <v>0</v>
      </c>
      <c r="N353" s="60" t="b">
        <v>0</v>
      </c>
      <c r="O353" s="60" t="b">
        <v>0</v>
      </c>
      <c r="P353" s="60" t="b">
        <v>0</v>
      </c>
      <c r="Q353" s="60" t="b">
        <v>0</v>
      </c>
      <c r="R353" s="60" t="b">
        <v>0</v>
      </c>
      <c r="S353" s="60" t="b">
        <v>0</v>
      </c>
      <c r="T353" s="60" t="b">
        <v>0</v>
      </c>
      <c r="U353" s="60" t="b">
        <v>0</v>
      </c>
      <c r="V353" s="60" t="b">
        <v>0</v>
      </c>
      <c r="W353" s="60" t="b">
        <v>0</v>
      </c>
    </row>
    <row r="354" spans="1:23" ht="42" x14ac:dyDescent="0.15">
      <c r="A354" s="62" t="s">
        <v>989</v>
      </c>
      <c r="B354" s="62" t="s">
        <v>66</v>
      </c>
      <c r="C354" s="64" t="s">
        <v>974</v>
      </c>
      <c r="D354" s="66" t="s">
        <v>975</v>
      </c>
      <c r="E354" s="64" t="s">
        <v>990</v>
      </c>
      <c r="F354" s="67" t="s">
        <v>991</v>
      </c>
      <c r="G354" s="60" t="s">
        <v>115</v>
      </c>
      <c r="H354" s="60" t="b">
        <v>0</v>
      </c>
      <c r="I354" s="60" t="b">
        <v>0</v>
      </c>
      <c r="J354" s="60" t="b">
        <v>0</v>
      </c>
      <c r="K354" s="60" t="b">
        <v>1</v>
      </c>
      <c r="L354" s="60" t="b">
        <v>0</v>
      </c>
      <c r="M354" s="60" t="b">
        <v>0</v>
      </c>
      <c r="N354" s="60" t="b">
        <v>0</v>
      </c>
      <c r="O354" s="60" t="b">
        <v>0</v>
      </c>
      <c r="P354" s="60" t="b">
        <v>0</v>
      </c>
      <c r="Q354" s="60" t="b">
        <v>0</v>
      </c>
      <c r="R354" s="60" t="b">
        <v>0</v>
      </c>
      <c r="S354" s="60" t="b">
        <v>0</v>
      </c>
      <c r="T354" s="60" t="b">
        <v>0</v>
      </c>
      <c r="U354" s="60" t="b">
        <v>0</v>
      </c>
      <c r="V354" s="60" t="b">
        <v>0</v>
      </c>
      <c r="W354" s="60" t="b">
        <v>0</v>
      </c>
    </row>
    <row r="355" spans="1:23" ht="56" x14ac:dyDescent="0.15">
      <c r="A355" s="62" t="s">
        <v>992</v>
      </c>
      <c r="B355" s="62" t="s">
        <v>66</v>
      </c>
      <c r="C355" s="64" t="s">
        <v>974</v>
      </c>
      <c r="D355" s="66" t="s">
        <v>975</v>
      </c>
      <c r="E355" s="64" t="s">
        <v>990</v>
      </c>
      <c r="F355" s="67" t="s">
        <v>993</v>
      </c>
      <c r="G355" s="60" t="s">
        <v>115</v>
      </c>
      <c r="H355" s="60" t="b">
        <v>0</v>
      </c>
      <c r="I355" s="60" t="b">
        <v>0</v>
      </c>
      <c r="J355" s="60" t="b">
        <v>0</v>
      </c>
      <c r="K355" s="60" t="b">
        <v>1</v>
      </c>
      <c r="L355" s="60" t="b">
        <v>0</v>
      </c>
      <c r="M355" s="60" t="b">
        <v>0</v>
      </c>
      <c r="N355" s="60" t="b">
        <v>0</v>
      </c>
      <c r="O355" s="60" t="b">
        <v>0</v>
      </c>
      <c r="P355" s="60" t="b">
        <v>0</v>
      </c>
      <c r="Q355" s="60" t="b">
        <v>0</v>
      </c>
      <c r="R355" s="60" t="b">
        <v>0</v>
      </c>
      <c r="S355" s="60" t="b">
        <v>0</v>
      </c>
      <c r="T355" s="60" t="b">
        <v>0</v>
      </c>
      <c r="U355" s="60" t="b">
        <v>0</v>
      </c>
      <c r="V355" s="60" t="b">
        <v>0</v>
      </c>
      <c r="W355" s="60" t="b">
        <v>0</v>
      </c>
    </row>
    <row r="356" spans="1:23" ht="28" x14ac:dyDescent="0.15">
      <c r="A356" s="62" t="s">
        <v>994</v>
      </c>
      <c r="B356" s="62" t="s">
        <v>66</v>
      </c>
      <c r="C356" s="64" t="s">
        <v>974</v>
      </c>
      <c r="D356" s="66" t="s">
        <v>995</v>
      </c>
      <c r="E356" s="64" t="s">
        <v>91</v>
      </c>
      <c r="F356" s="67" t="s">
        <v>996</v>
      </c>
      <c r="G356" s="60" t="s">
        <v>997</v>
      </c>
      <c r="H356" s="60" t="b">
        <v>0</v>
      </c>
      <c r="I356" s="60" t="b">
        <v>0</v>
      </c>
      <c r="J356" s="60" t="b">
        <v>0</v>
      </c>
      <c r="K356" s="60" t="b">
        <v>0</v>
      </c>
      <c r="L356" s="60" t="b">
        <v>0</v>
      </c>
      <c r="M356" s="60" t="b">
        <v>0</v>
      </c>
      <c r="N356" s="60" t="b">
        <v>0</v>
      </c>
      <c r="O356" s="60" t="b">
        <v>0</v>
      </c>
      <c r="P356" s="60" t="b">
        <v>1</v>
      </c>
      <c r="Q356" s="60" t="b">
        <v>1</v>
      </c>
      <c r="R356" s="60" t="b">
        <v>0</v>
      </c>
      <c r="S356" s="60" t="b">
        <v>1</v>
      </c>
      <c r="T356" s="60" t="b">
        <v>0</v>
      </c>
      <c r="U356" s="60" t="b">
        <v>0</v>
      </c>
      <c r="V356" s="60" t="b">
        <v>0</v>
      </c>
      <c r="W356" s="60" t="b">
        <v>0</v>
      </c>
    </row>
    <row r="357" spans="1:23" ht="98" x14ac:dyDescent="0.15">
      <c r="A357" s="62" t="s">
        <v>998</v>
      </c>
      <c r="B357" s="62" t="s">
        <v>66</v>
      </c>
      <c r="C357" s="64" t="s">
        <v>974</v>
      </c>
      <c r="D357" s="66" t="s">
        <v>995</v>
      </c>
      <c r="E357" s="64" t="s">
        <v>91</v>
      </c>
      <c r="F357" s="67" t="s">
        <v>999</v>
      </c>
      <c r="G357" s="60" t="s">
        <v>793</v>
      </c>
      <c r="H357" s="60" t="b">
        <v>0</v>
      </c>
      <c r="I357" s="60" t="b">
        <v>0</v>
      </c>
      <c r="J357" s="60" t="b">
        <v>0</v>
      </c>
      <c r="K357" s="60" t="b">
        <v>0</v>
      </c>
      <c r="L357" s="60" t="b">
        <v>0</v>
      </c>
      <c r="M357" s="60" t="b">
        <v>0</v>
      </c>
      <c r="N357" s="60" t="b">
        <v>0</v>
      </c>
      <c r="O357" s="60" t="b">
        <v>0</v>
      </c>
      <c r="P357" s="60" t="b">
        <v>1</v>
      </c>
      <c r="Q357" s="60" t="b">
        <v>1</v>
      </c>
      <c r="R357" s="60" t="b">
        <v>1</v>
      </c>
      <c r="S357" s="60" t="b">
        <v>0</v>
      </c>
      <c r="T357" s="60" t="b">
        <v>0</v>
      </c>
      <c r="U357" s="60" t="b">
        <v>0</v>
      </c>
      <c r="V357" s="60" t="b">
        <v>0</v>
      </c>
      <c r="W357" s="60" t="b">
        <v>0</v>
      </c>
    </row>
    <row r="358" spans="1:23" ht="14" x14ac:dyDescent="0.15">
      <c r="A358" s="62" t="s">
        <v>1000</v>
      </c>
      <c r="B358" s="62" t="s">
        <v>66</v>
      </c>
      <c r="C358" s="64" t="s">
        <v>974</v>
      </c>
      <c r="D358" s="66" t="s">
        <v>995</v>
      </c>
      <c r="E358" s="64" t="s">
        <v>91</v>
      </c>
      <c r="F358" s="67" t="s">
        <v>1001</v>
      </c>
      <c r="G358" s="60" t="s">
        <v>121</v>
      </c>
      <c r="H358" s="60" t="b">
        <v>0</v>
      </c>
      <c r="I358" s="60" t="b">
        <v>0</v>
      </c>
      <c r="J358" s="60" t="b">
        <v>0</v>
      </c>
      <c r="K358" s="60" t="b">
        <v>0</v>
      </c>
      <c r="L358" s="60" t="b">
        <v>0</v>
      </c>
      <c r="M358" s="60" t="b">
        <v>0</v>
      </c>
      <c r="N358" s="60" t="b">
        <v>0</v>
      </c>
      <c r="O358" s="60" t="b">
        <v>0</v>
      </c>
      <c r="P358" s="60" t="b">
        <v>0</v>
      </c>
      <c r="Q358" s="60" t="b">
        <v>1</v>
      </c>
      <c r="R358" s="60" t="b">
        <v>0</v>
      </c>
      <c r="S358" s="60" t="b">
        <v>0</v>
      </c>
      <c r="T358" s="60" t="b">
        <v>0</v>
      </c>
      <c r="U358" s="60" t="b">
        <v>0</v>
      </c>
      <c r="V358" s="60" t="b">
        <v>0</v>
      </c>
      <c r="W358" s="60" t="b">
        <v>0</v>
      </c>
    </row>
    <row r="359" spans="1:23" ht="28" x14ac:dyDescent="0.15">
      <c r="A359" s="62" t="s">
        <v>1002</v>
      </c>
      <c r="B359" s="62" t="s">
        <v>66</v>
      </c>
      <c r="C359" s="64" t="s">
        <v>974</v>
      </c>
      <c r="D359" s="66" t="s">
        <v>995</v>
      </c>
      <c r="E359" s="64" t="s">
        <v>91</v>
      </c>
      <c r="F359" s="67" t="s">
        <v>1003</v>
      </c>
      <c r="G359" s="60" t="s">
        <v>121</v>
      </c>
      <c r="H359" s="60" t="b">
        <v>0</v>
      </c>
      <c r="I359" s="60" t="b">
        <v>0</v>
      </c>
      <c r="J359" s="60" t="b">
        <v>0</v>
      </c>
      <c r="K359" s="60" t="b">
        <v>0</v>
      </c>
      <c r="L359" s="60" t="b">
        <v>0</v>
      </c>
      <c r="M359" s="60" t="b">
        <v>0</v>
      </c>
      <c r="N359" s="60" t="b">
        <v>0</v>
      </c>
      <c r="O359" s="60" t="b">
        <v>0</v>
      </c>
      <c r="P359" s="60" t="b">
        <v>0</v>
      </c>
      <c r="Q359" s="60" t="b">
        <v>1</v>
      </c>
      <c r="R359" s="60" t="b">
        <v>0</v>
      </c>
      <c r="S359" s="60" t="b">
        <v>0</v>
      </c>
      <c r="T359" s="60" t="b">
        <v>0</v>
      </c>
      <c r="U359" s="60" t="b">
        <v>0</v>
      </c>
      <c r="V359" s="60" t="b">
        <v>0</v>
      </c>
      <c r="W359" s="60" t="b">
        <v>0</v>
      </c>
    </row>
    <row r="360" spans="1:23" ht="84" x14ac:dyDescent="0.15">
      <c r="A360" s="62" t="s">
        <v>1004</v>
      </c>
      <c r="B360" s="62" t="s">
        <v>66</v>
      </c>
      <c r="C360" s="64" t="s">
        <v>974</v>
      </c>
      <c r="D360" s="66" t="s">
        <v>995</v>
      </c>
      <c r="E360" s="64" t="s">
        <v>167</v>
      </c>
      <c r="F360" s="67" t="s">
        <v>1005</v>
      </c>
      <c r="G360" s="60" t="s">
        <v>120</v>
      </c>
      <c r="H360" s="60" t="b">
        <v>0</v>
      </c>
      <c r="I360" s="60" t="b">
        <v>0</v>
      </c>
      <c r="J360" s="60" t="b">
        <v>0</v>
      </c>
      <c r="K360" s="60" t="b">
        <v>0</v>
      </c>
      <c r="L360" s="60" t="b">
        <v>0</v>
      </c>
      <c r="M360" s="60" t="b">
        <v>0</v>
      </c>
      <c r="N360" s="60" t="b">
        <v>0</v>
      </c>
      <c r="O360" s="60" t="b">
        <v>0</v>
      </c>
      <c r="P360" s="60" t="b">
        <v>1</v>
      </c>
      <c r="Q360" s="60" t="b">
        <v>0</v>
      </c>
      <c r="R360" s="60" t="b">
        <v>0</v>
      </c>
      <c r="S360" s="60" t="b">
        <v>0</v>
      </c>
      <c r="T360" s="60" t="b">
        <v>0</v>
      </c>
      <c r="U360" s="60" t="b">
        <v>0</v>
      </c>
      <c r="V360" s="60" t="b">
        <v>0</v>
      </c>
      <c r="W360" s="60" t="b">
        <v>0</v>
      </c>
    </row>
    <row r="361" spans="1:23" ht="28" x14ac:dyDescent="0.15">
      <c r="A361" s="62" t="s">
        <v>1006</v>
      </c>
      <c r="B361" s="62" t="s">
        <v>66</v>
      </c>
      <c r="C361" s="64" t="s">
        <v>974</v>
      </c>
      <c r="D361" s="66" t="s">
        <v>995</v>
      </c>
      <c r="E361" s="64" t="s">
        <v>104</v>
      </c>
      <c r="F361" s="67" t="s">
        <v>1007</v>
      </c>
      <c r="G361" s="60" t="s">
        <v>124</v>
      </c>
      <c r="H361" s="60" t="b">
        <v>0</v>
      </c>
      <c r="I361" s="60" t="b">
        <v>0</v>
      </c>
      <c r="J361" s="60" t="b">
        <v>0</v>
      </c>
      <c r="K361" s="60" t="b">
        <v>0</v>
      </c>
      <c r="L361" s="60" t="b">
        <v>0</v>
      </c>
      <c r="M361" s="60" t="b">
        <v>0</v>
      </c>
      <c r="N361" s="60" t="b">
        <v>0</v>
      </c>
      <c r="O361" s="60" t="b">
        <v>0</v>
      </c>
      <c r="P361" s="60" t="b">
        <v>0</v>
      </c>
      <c r="Q361" s="60" t="b">
        <v>0</v>
      </c>
      <c r="R361" s="60" t="b">
        <v>0</v>
      </c>
      <c r="S361" s="60" t="b">
        <v>0</v>
      </c>
      <c r="T361" s="60" t="b">
        <v>1</v>
      </c>
      <c r="U361" s="60" t="b">
        <v>0</v>
      </c>
      <c r="V361" s="60" t="b">
        <v>0</v>
      </c>
      <c r="W361" s="60" t="b">
        <v>0</v>
      </c>
    </row>
    <row r="362" spans="1:23" ht="70" x14ac:dyDescent="0.15">
      <c r="A362" s="62" t="s">
        <v>1008</v>
      </c>
      <c r="B362" s="62" t="s">
        <v>66</v>
      </c>
      <c r="C362" s="64" t="s">
        <v>974</v>
      </c>
      <c r="D362" s="66" t="s">
        <v>995</v>
      </c>
      <c r="E362" s="64" t="s">
        <v>104</v>
      </c>
      <c r="F362" s="67" t="s">
        <v>1009</v>
      </c>
      <c r="G362" s="60" t="s">
        <v>570</v>
      </c>
      <c r="H362" s="60" t="b">
        <v>0</v>
      </c>
      <c r="I362" s="60" t="b">
        <v>0</v>
      </c>
      <c r="J362" s="60" t="b">
        <v>0</v>
      </c>
      <c r="K362" s="60" t="b">
        <v>0</v>
      </c>
      <c r="L362" s="60" t="b">
        <v>0</v>
      </c>
      <c r="M362" s="60" t="b">
        <v>0</v>
      </c>
      <c r="N362" s="60" t="b">
        <v>0</v>
      </c>
      <c r="O362" s="60" t="b">
        <v>0</v>
      </c>
      <c r="P362" s="60" t="b">
        <v>0</v>
      </c>
      <c r="Q362" s="60" t="b">
        <v>0</v>
      </c>
      <c r="R362" s="60" t="b">
        <v>0</v>
      </c>
      <c r="S362" s="60" t="b">
        <v>0</v>
      </c>
      <c r="T362" s="60" t="b">
        <v>0</v>
      </c>
      <c r="U362" s="60" t="b">
        <v>0</v>
      </c>
      <c r="V362" s="60" t="b">
        <v>0</v>
      </c>
      <c r="W362" s="60" t="b">
        <v>0</v>
      </c>
    </row>
    <row r="363" spans="1:23" ht="28" x14ac:dyDescent="0.15">
      <c r="A363" s="62" t="s">
        <v>1010</v>
      </c>
      <c r="B363" s="62" t="s">
        <v>66</v>
      </c>
      <c r="C363" s="64" t="s">
        <v>974</v>
      </c>
      <c r="D363" s="66" t="s">
        <v>995</v>
      </c>
      <c r="E363" s="64" t="s">
        <v>104</v>
      </c>
      <c r="F363" s="67" t="s">
        <v>1011</v>
      </c>
      <c r="G363" s="60" t="s">
        <v>234</v>
      </c>
      <c r="H363" s="60" t="b">
        <v>0</v>
      </c>
      <c r="I363" s="60" t="b">
        <v>0</v>
      </c>
      <c r="J363" s="60" t="b">
        <v>0</v>
      </c>
      <c r="K363" s="60" t="b">
        <v>0</v>
      </c>
      <c r="L363" s="60" t="b">
        <v>0</v>
      </c>
      <c r="M363" s="60" t="b">
        <v>0</v>
      </c>
      <c r="N363" s="60" t="b">
        <v>0</v>
      </c>
      <c r="O363" s="60" t="b">
        <v>0</v>
      </c>
      <c r="P363" s="60" t="b">
        <v>0</v>
      </c>
      <c r="Q363" s="60" t="b">
        <v>0</v>
      </c>
      <c r="R363" s="60" t="b">
        <v>0</v>
      </c>
      <c r="S363" s="60" t="b">
        <v>0</v>
      </c>
      <c r="T363" s="60" t="b">
        <v>1</v>
      </c>
      <c r="U363" s="60" t="b">
        <v>0</v>
      </c>
      <c r="V363" s="60" t="b">
        <v>0</v>
      </c>
      <c r="W363" s="60" t="b">
        <v>0</v>
      </c>
    </row>
    <row r="364" spans="1:23" ht="28" x14ac:dyDescent="0.15">
      <c r="A364" s="62" t="s">
        <v>1012</v>
      </c>
      <c r="B364" s="62" t="s">
        <v>66</v>
      </c>
      <c r="C364" s="64" t="s">
        <v>974</v>
      </c>
      <c r="D364" s="66" t="s">
        <v>995</v>
      </c>
      <c r="E364" s="64" t="s">
        <v>104</v>
      </c>
      <c r="F364" s="67" t="s">
        <v>1013</v>
      </c>
      <c r="G364" s="60" t="s">
        <v>119</v>
      </c>
      <c r="H364" s="60" t="b">
        <v>0</v>
      </c>
      <c r="I364" s="60" t="b">
        <v>0</v>
      </c>
      <c r="J364" s="60" t="b">
        <v>0</v>
      </c>
      <c r="K364" s="60" t="b">
        <v>0</v>
      </c>
      <c r="L364" s="60" t="b">
        <v>0</v>
      </c>
      <c r="M364" s="60" t="b">
        <v>0</v>
      </c>
      <c r="N364" s="60" t="b">
        <v>0</v>
      </c>
      <c r="O364" s="60" t="b">
        <v>1</v>
      </c>
      <c r="P364" s="60" t="b">
        <v>0</v>
      </c>
      <c r="Q364" s="60" t="b">
        <v>0</v>
      </c>
      <c r="R364" s="60" t="b">
        <v>0</v>
      </c>
      <c r="S364" s="60" t="b">
        <v>0</v>
      </c>
      <c r="T364" s="60" t="b">
        <v>0</v>
      </c>
      <c r="U364" s="60" t="b">
        <v>0</v>
      </c>
      <c r="V364" s="60" t="b">
        <v>0</v>
      </c>
      <c r="W364" s="60" t="b">
        <v>0</v>
      </c>
    </row>
    <row r="365" spans="1:23" ht="56" x14ac:dyDescent="0.15">
      <c r="A365" s="62" t="s">
        <v>1014</v>
      </c>
      <c r="B365" s="62" t="s">
        <v>66</v>
      </c>
      <c r="C365" s="64" t="s">
        <v>974</v>
      </c>
      <c r="D365" s="66" t="s">
        <v>995</v>
      </c>
      <c r="E365" s="64" t="s">
        <v>104</v>
      </c>
      <c r="F365" s="67" t="s">
        <v>1015</v>
      </c>
      <c r="G365" s="60" t="s">
        <v>124</v>
      </c>
      <c r="H365" s="60" t="b">
        <v>0</v>
      </c>
      <c r="I365" s="60" t="b">
        <v>0</v>
      </c>
      <c r="J365" s="60" t="b">
        <v>0</v>
      </c>
      <c r="K365" s="60" t="b">
        <v>0</v>
      </c>
      <c r="L365" s="60" t="b">
        <v>0</v>
      </c>
      <c r="M365" s="60" t="b">
        <v>0</v>
      </c>
      <c r="N365" s="60" t="b">
        <v>0</v>
      </c>
      <c r="O365" s="60" t="b">
        <v>0</v>
      </c>
      <c r="P365" s="60" t="b">
        <v>0</v>
      </c>
      <c r="Q365" s="60" t="b">
        <v>0</v>
      </c>
      <c r="R365" s="60" t="b">
        <v>0</v>
      </c>
      <c r="S365" s="60" t="b">
        <v>0</v>
      </c>
      <c r="T365" s="60" t="b">
        <v>1</v>
      </c>
      <c r="U365" s="60" t="b">
        <v>0</v>
      </c>
      <c r="V365" s="60" t="b">
        <v>0</v>
      </c>
      <c r="W365" s="60" t="b">
        <v>0</v>
      </c>
    </row>
    <row r="366" spans="1:23" ht="28" x14ac:dyDescent="0.15">
      <c r="A366" s="62" t="s">
        <v>1016</v>
      </c>
      <c r="B366" s="62" t="s">
        <v>66</v>
      </c>
      <c r="C366" s="64" t="s">
        <v>974</v>
      </c>
      <c r="D366" s="66" t="s">
        <v>995</v>
      </c>
      <c r="E366" s="64" t="s">
        <v>104</v>
      </c>
      <c r="F366" s="67" t="s">
        <v>1017</v>
      </c>
      <c r="G366" s="60" t="s">
        <v>1018</v>
      </c>
      <c r="H366" s="60" t="b">
        <v>0</v>
      </c>
      <c r="I366" s="60" t="b">
        <v>0</v>
      </c>
      <c r="J366" s="60" t="b">
        <v>0</v>
      </c>
      <c r="K366" s="60" t="b">
        <v>0</v>
      </c>
      <c r="L366" s="60" t="b">
        <v>0</v>
      </c>
      <c r="M366" s="60" t="b">
        <v>0</v>
      </c>
      <c r="N366" s="60" t="b">
        <v>0</v>
      </c>
      <c r="O366" s="60" t="b">
        <v>0</v>
      </c>
      <c r="P366" s="60" t="b">
        <v>1</v>
      </c>
      <c r="Q366" s="60" t="b">
        <v>0</v>
      </c>
      <c r="R366" s="60" t="b">
        <v>1</v>
      </c>
      <c r="S366" s="60" t="b">
        <v>1</v>
      </c>
      <c r="T366" s="60" t="b">
        <v>0</v>
      </c>
      <c r="U366" s="60" t="b">
        <v>0</v>
      </c>
      <c r="V366" s="60" t="b">
        <v>0</v>
      </c>
      <c r="W366" s="60" t="b">
        <v>0</v>
      </c>
    </row>
    <row r="367" spans="1:23" ht="28" x14ac:dyDescent="0.15">
      <c r="A367" s="62" t="s">
        <v>1019</v>
      </c>
      <c r="B367" s="62" t="s">
        <v>66</v>
      </c>
      <c r="C367" s="64" t="s">
        <v>974</v>
      </c>
      <c r="D367" s="66" t="s">
        <v>995</v>
      </c>
      <c r="E367" s="64" t="s">
        <v>104</v>
      </c>
      <c r="F367" s="67" t="s">
        <v>1020</v>
      </c>
      <c r="G367" s="60" t="s">
        <v>786</v>
      </c>
      <c r="H367" s="60" t="b">
        <v>0</v>
      </c>
      <c r="I367" s="60" t="b">
        <v>0</v>
      </c>
      <c r="J367" s="60" t="b">
        <v>0</v>
      </c>
      <c r="K367" s="60" t="b">
        <v>0</v>
      </c>
      <c r="L367" s="60" t="b">
        <v>0</v>
      </c>
      <c r="M367" s="60" t="b">
        <v>0</v>
      </c>
      <c r="N367" s="60" t="b">
        <v>0</v>
      </c>
      <c r="O367" s="60" t="b">
        <v>0</v>
      </c>
      <c r="P367" s="60" t="b">
        <v>0</v>
      </c>
      <c r="Q367" s="60" t="b">
        <v>1</v>
      </c>
      <c r="R367" s="60" t="b">
        <v>0</v>
      </c>
      <c r="S367" s="60" t="b">
        <v>0</v>
      </c>
      <c r="T367" s="60" t="b">
        <v>1</v>
      </c>
      <c r="U367" s="60" t="b">
        <v>0</v>
      </c>
      <c r="V367" s="60" t="b">
        <v>0</v>
      </c>
      <c r="W367" s="60" t="b">
        <v>0</v>
      </c>
    </row>
    <row r="368" spans="1:23" ht="42" x14ac:dyDescent="0.15">
      <c r="A368" s="62" t="s">
        <v>1021</v>
      </c>
      <c r="B368" s="62" t="s">
        <v>66</v>
      </c>
      <c r="C368" s="64" t="s">
        <v>974</v>
      </c>
      <c r="D368" s="66" t="s">
        <v>1022</v>
      </c>
      <c r="E368" s="64" t="s">
        <v>1023</v>
      </c>
      <c r="F368" s="67" t="s">
        <v>1024</v>
      </c>
      <c r="G368" s="60" t="s">
        <v>201</v>
      </c>
      <c r="H368" s="60" t="b">
        <v>0</v>
      </c>
      <c r="I368" s="60" t="b">
        <v>0</v>
      </c>
      <c r="J368" s="60" t="b">
        <v>0</v>
      </c>
      <c r="K368" s="60" t="b">
        <v>0</v>
      </c>
      <c r="L368" s="60" t="b">
        <v>0</v>
      </c>
      <c r="M368" s="60" t="b">
        <v>0</v>
      </c>
      <c r="N368" s="60" t="b">
        <v>0</v>
      </c>
      <c r="O368" s="60" t="b">
        <v>0</v>
      </c>
      <c r="P368" s="60" t="b">
        <v>0</v>
      </c>
      <c r="Q368" s="60" t="b">
        <v>0</v>
      </c>
      <c r="R368" s="60" t="b">
        <v>0</v>
      </c>
      <c r="S368" s="60" t="b">
        <v>0</v>
      </c>
      <c r="T368" s="60" t="b">
        <v>0</v>
      </c>
      <c r="U368" s="60" t="b">
        <v>0</v>
      </c>
      <c r="V368" s="60" t="b">
        <v>0</v>
      </c>
      <c r="W368" s="60" t="b">
        <v>0</v>
      </c>
    </row>
    <row r="369" spans="1:23" ht="14" x14ac:dyDescent="0.15">
      <c r="A369" s="62" t="s">
        <v>1025</v>
      </c>
      <c r="B369" s="62" t="s">
        <v>66</v>
      </c>
      <c r="C369" s="64" t="s">
        <v>974</v>
      </c>
      <c r="D369" s="66" t="s">
        <v>1022</v>
      </c>
      <c r="E369" s="64" t="s">
        <v>1023</v>
      </c>
      <c r="F369" s="67" t="s">
        <v>1026</v>
      </c>
      <c r="G369" s="60" t="s">
        <v>193</v>
      </c>
      <c r="H369" s="60" t="b">
        <v>0</v>
      </c>
      <c r="I369" s="60" t="b">
        <v>0</v>
      </c>
      <c r="J369" s="60" t="b">
        <v>0</v>
      </c>
      <c r="K369" s="60" t="b">
        <v>0</v>
      </c>
      <c r="L369" s="60" t="b">
        <v>0</v>
      </c>
      <c r="M369" s="60" t="b">
        <v>0</v>
      </c>
      <c r="N369" s="60" t="b">
        <v>0</v>
      </c>
      <c r="O369" s="60" t="b">
        <v>0</v>
      </c>
      <c r="P369" s="60" t="b">
        <v>1</v>
      </c>
      <c r="Q369" s="60" t="b">
        <v>0</v>
      </c>
      <c r="R369" s="60" t="b">
        <v>1</v>
      </c>
      <c r="S369" s="60" t="b">
        <v>0</v>
      </c>
      <c r="T369" s="60" t="b">
        <v>0</v>
      </c>
      <c r="U369" s="60" t="b">
        <v>0</v>
      </c>
      <c r="V369" s="60" t="b">
        <v>0</v>
      </c>
      <c r="W369" s="60" t="b">
        <v>0</v>
      </c>
    </row>
    <row r="370" spans="1:23" ht="70" x14ac:dyDescent="0.15">
      <c r="A370" s="62" t="s">
        <v>1027</v>
      </c>
      <c r="B370" s="62" t="s">
        <v>66</v>
      </c>
      <c r="C370" s="64" t="s">
        <v>974</v>
      </c>
      <c r="D370" s="66" t="s">
        <v>1022</v>
      </c>
      <c r="E370" s="64" t="s">
        <v>1023</v>
      </c>
      <c r="F370" s="67" t="s">
        <v>1028</v>
      </c>
      <c r="G370" s="60" t="s">
        <v>120</v>
      </c>
      <c r="H370" s="60" t="b">
        <v>0</v>
      </c>
      <c r="I370" s="60" t="b">
        <v>0</v>
      </c>
      <c r="J370" s="60" t="b">
        <v>0</v>
      </c>
      <c r="K370" s="60" t="b">
        <v>0</v>
      </c>
      <c r="L370" s="60" t="b">
        <v>0</v>
      </c>
      <c r="M370" s="60" t="b">
        <v>0</v>
      </c>
      <c r="N370" s="60" t="b">
        <v>0</v>
      </c>
      <c r="O370" s="60" t="b">
        <v>0</v>
      </c>
      <c r="P370" s="60" t="b">
        <v>1</v>
      </c>
      <c r="Q370" s="60" t="b">
        <v>0</v>
      </c>
      <c r="R370" s="60" t="b">
        <v>0</v>
      </c>
      <c r="S370" s="60" t="b">
        <v>0</v>
      </c>
      <c r="T370" s="60" t="b">
        <v>0</v>
      </c>
      <c r="U370" s="60" t="b">
        <v>0</v>
      </c>
      <c r="V370" s="60" t="b">
        <v>0</v>
      </c>
      <c r="W370" s="60" t="b">
        <v>0</v>
      </c>
    </row>
    <row r="371" spans="1:23" ht="14" x14ac:dyDescent="0.15">
      <c r="A371" s="62" t="s">
        <v>1029</v>
      </c>
      <c r="B371" s="62" t="s">
        <v>66</v>
      </c>
      <c r="C371" s="64" t="s">
        <v>974</v>
      </c>
      <c r="D371" s="66" t="s">
        <v>1022</v>
      </c>
      <c r="E371" s="64" t="s">
        <v>824</v>
      </c>
      <c r="F371" s="67" t="s">
        <v>1030</v>
      </c>
      <c r="G371" s="60" t="s">
        <v>123</v>
      </c>
      <c r="H371" s="60" t="b">
        <v>0</v>
      </c>
      <c r="I371" s="60" t="b">
        <v>0</v>
      </c>
      <c r="J371" s="60" t="b">
        <v>0</v>
      </c>
      <c r="K371" s="60" t="b">
        <v>0</v>
      </c>
      <c r="L371" s="60" t="b">
        <v>0</v>
      </c>
      <c r="M371" s="60" t="b">
        <v>0</v>
      </c>
      <c r="N371" s="60" t="b">
        <v>0</v>
      </c>
      <c r="O371" s="60" t="b">
        <v>0</v>
      </c>
      <c r="P371" s="60" t="b">
        <v>0</v>
      </c>
      <c r="Q371" s="60" t="b">
        <v>0</v>
      </c>
      <c r="R371" s="60" t="b">
        <v>0</v>
      </c>
      <c r="S371" s="60" t="b">
        <v>1</v>
      </c>
      <c r="T371" s="60" t="b">
        <v>0</v>
      </c>
      <c r="U371" s="60" t="b">
        <v>0</v>
      </c>
      <c r="V371" s="60" t="b">
        <v>0</v>
      </c>
      <c r="W371" s="60" t="b">
        <v>0</v>
      </c>
    </row>
    <row r="372" spans="1:23" ht="42" x14ac:dyDescent="0.15">
      <c r="A372" s="62" t="s">
        <v>1031</v>
      </c>
      <c r="B372" s="62" t="s">
        <v>66</v>
      </c>
      <c r="C372" s="64" t="s">
        <v>974</v>
      </c>
      <c r="D372" s="66" t="s">
        <v>1022</v>
      </c>
      <c r="E372" s="64" t="s">
        <v>824</v>
      </c>
      <c r="F372" s="67" t="s">
        <v>1032</v>
      </c>
      <c r="G372" s="60" t="s">
        <v>539</v>
      </c>
      <c r="H372" s="60" t="b">
        <v>0</v>
      </c>
      <c r="I372" s="60" t="b">
        <v>0</v>
      </c>
      <c r="J372" s="60" t="b">
        <v>0</v>
      </c>
      <c r="K372" s="60" t="b">
        <v>0</v>
      </c>
      <c r="L372" s="60" t="b">
        <v>0</v>
      </c>
      <c r="M372" s="60" t="b">
        <v>0</v>
      </c>
      <c r="N372" s="60" t="b">
        <v>0</v>
      </c>
      <c r="O372" s="60" t="b">
        <v>0</v>
      </c>
      <c r="P372" s="60" t="b">
        <v>0</v>
      </c>
      <c r="Q372" s="60" t="b">
        <v>0</v>
      </c>
      <c r="R372" s="60" t="b">
        <v>0</v>
      </c>
      <c r="S372" s="60" t="b">
        <v>1</v>
      </c>
      <c r="T372" s="60" t="b">
        <v>0</v>
      </c>
      <c r="U372" s="60" t="b">
        <v>0</v>
      </c>
      <c r="V372" s="60" t="b">
        <v>0</v>
      </c>
      <c r="W372" s="60" t="b">
        <v>0</v>
      </c>
    </row>
    <row r="373" spans="1:23" ht="14" x14ac:dyDescent="0.15">
      <c r="A373" s="62" t="s">
        <v>1033</v>
      </c>
      <c r="B373" s="62" t="s">
        <v>66</v>
      </c>
      <c r="C373" s="64" t="s">
        <v>974</v>
      </c>
      <c r="D373" s="66" t="s">
        <v>1022</v>
      </c>
      <c r="E373" s="64" t="s">
        <v>824</v>
      </c>
      <c r="F373" s="67" t="s">
        <v>1034</v>
      </c>
      <c r="G373" s="60" t="s">
        <v>120</v>
      </c>
      <c r="H373" s="60" t="b">
        <v>0</v>
      </c>
      <c r="I373" s="60" t="b">
        <v>0</v>
      </c>
      <c r="J373" s="60" t="b">
        <v>0</v>
      </c>
      <c r="K373" s="60" t="b">
        <v>0</v>
      </c>
      <c r="L373" s="60" t="b">
        <v>0</v>
      </c>
      <c r="M373" s="60" t="b">
        <v>0</v>
      </c>
      <c r="N373" s="60" t="b">
        <v>0</v>
      </c>
      <c r="O373" s="60" t="b">
        <v>0</v>
      </c>
      <c r="P373" s="60" t="b">
        <v>1</v>
      </c>
      <c r="Q373" s="60" t="b">
        <v>0</v>
      </c>
      <c r="R373" s="60" t="b">
        <v>0</v>
      </c>
      <c r="S373" s="60" t="b">
        <v>0</v>
      </c>
      <c r="T373" s="60" t="b">
        <v>0</v>
      </c>
      <c r="U373" s="60" t="b">
        <v>0</v>
      </c>
      <c r="V373" s="60" t="b">
        <v>0</v>
      </c>
      <c r="W373" s="60" t="b">
        <v>0</v>
      </c>
    </row>
    <row r="374" spans="1:23" ht="70" x14ac:dyDescent="0.15">
      <c r="A374" s="62" t="s">
        <v>1035</v>
      </c>
      <c r="B374" s="62" t="s">
        <v>66</v>
      </c>
      <c r="C374" s="64" t="s">
        <v>974</v>
      </c>
      <c r="D374" s="66" t="s">
        <v>1022</v>
      </c>
      <c r="E374" s="64" t="s">
        <v>824</v>
      </c>
      <c r="F374" s="67" t="s">
        <v>1036</v>
      </c>
      <c r="G374" s="60" t="s">
        <v>123</v>
      </c>
      <c r="H374" s="60" t="b">
        <v>0</v>
      </c>
      <c r="I374" s="60" t="b">
        <v>0</v>
      </c>
      <c r="J374" s="60" t="b">
        <v>0</v>
      </c>
      <c r="K374" s="60" t="b">
        <v>0</v>
      </c>
      <c r="L374" s="60" t="b">
        <v>0</v>
      </c>
      <c r="M374" s="60" t="b">
        <v>0</v>
      </c>
      <c r="N374" s="60" t="b">
        <v>0</v>
      </c>
      <c r="O374" s="60" t="b">
        <v>0</v>
      </c>
      <c r="P374" s="60" t="b">
        <v>0</v>
      </c>
      <c r="Q374" s="60" t="b">
        <v>0</v>
      </c>
      <c r="R374" s="60" t="b">
        <v>0</v>
      </c>
      <c r="S374" s="60" t="b">
        <v>1</v>
      </c>
      <c r="T374" s="60" t="b">
        <v>0</v>
      </c>
      <c r="U374" s="60" t="b">
        <v>0</v>
      </c>
      <c r="V374" s="60" t="b">
        <v>0</v>
      </c>
      <c r="W374" s="60" t="b">
        <v>0</v>
      </c>
    </row>
    <row r="375" spans="1:23" ht="14" x14ac:dyDescent="0.15">
      <c r="A375" s="62" t="s">
        <v>1037</v>
      </c>
      <c r="B375" s="62" t="s">
        <v>66</v>
      </c>
      <c r="C375" s="64" t="s">
        <v>974</v>
      </c>
      <c r="D375" s="66" t="s">
        <v>1022</v>
      </c>
      <c r="E375" s="64" t="s">
        <v>824</v>
      </c>
      <c r="F375" s="67" t="s">
        <v>1038</v>
      </c>
      <c r="G375" s="60" t="s">
        <v>201</v>
      </c>
      <c r="H375" s="60" t="b">
        <v>0</v>
      </c>
      <c r="I375" s="60" t="b">
        <v>0</v>
      </c>
      <c r="J375" s="60" t="b">
        <v>0</v>
      </c>
      <c r="K375" s="60" t="b">
        <v>0</v>
      </c>
      <c r="L375" s="60" t="b">
        <v>0</v>
      </c>
      <c r="M375" s="60" t="b">
        <v>0</v>
      </c>
      <c r="N375" s="60" t="b">
        <v>0</v>
      </c>
      <c r="O375" s="60" t="b">
        <v>0</v>
      </c>
      <c r="P375" s="60" t="b">
        <v>0</v>
      </c>
      <c r="Q375" s="60" t="b">
        <v>0</v>
      </c>
      <c r="R375" s="60" t="b">
        <v>0</v>
      </c>
      <c r="S375" s="60" t="b">
        <v>0</v>
      </c>
      <c r="T375" s="60" t="b">
        <v>0</v>
      </c>
      <c r="U375" s="60" t="b">
        <v>0</v>
      </c>
      <c r="V375" s="60" t="b">
        <v>0</v>
      </c>
      <c r="W375" s="60" t="b">
        <v>0</v>
      </c>
    </row>
    <row r="376" spans="1:23" ht="28" x14ac:dyDescent="0.15">
      <c r="A376" s="62" t="s">
        <v>1039</v>
      </c>
      <c r="B376" s="62" t="s">
        <v>66</v>
      </c>
      <c r="C376" s="64" t="s">
        <v>974</v>
      </c>
      <c r="D376" s="66" t="s">
        <v>1040</v>
      </c>
      <c r="E376" s="64" t="s">
        <v>82</v>
      </c>
      <c r="F376" s="67" t="s">
        <v>1041</v>
      </c>
      <c r="G376" s="60" t="s">
        <v>113</v>
      </c>
      <c r="H376" s="60" t="b">
        <v>0</v>
      </c>
      <c r="I376" s="60" t="b">
        <v>1</v>
      </c>
      <c r="J376" s="60" t="b">
        <v>0</v>
      </c>
      <c r="K376" s="60" t="b">
        <v>0</v>
      </c>
      <c r="L376" s="60" t="b">
        <v>0</v>
      </c>
      <c r="M376" s="60" t="b">
        <v>0</v>
      </c>
      <c r="N376" s="60" t="b">
        <v>0</v>
      </c>
      <c r="O376" s="60" t="b">
        <v>0</v>
      </c>
      <c r="P376" s="60" t="b">
        <v>0</v>
      </c>
      <c r="Q376" s="60" t="b">
        <v>0</v>
      </c>
      <c r="R376" s="60" t="b">
        <v>0</v>
      </c>
      <c r="S376" s="60" t="b">
        <v>0</v>
      </c>
      <c r="T376" s="60" t="b">
        <v>0</v>
      </c>
      <c r="U376" s="60" t="b">
        <v>0</v>
      </c>
      <c r="V376" s="60" t="b">
        <v>0</v>
      </c>
      <c r="W376" s="60" t="b">
        <v>0</v>
      </c>
    </row>
    <row r="377" spans="1:23" ht="14" x14ac:dyDescent="0.15">
      <c r="A377" s="62" t="s">
        <v>1042</v>
      </c>
      <c r="B377" s="62" t="s">
        <v>66</v>
      </c>
      <c r="C377" s="64" t="s">
        <v>974</v>
      </c>
      <c r="D377" s="66" t="s">
        <v>1040</v>
      </c>
      <c r="E377" s="64" t="s">
        <v>82</v>
      </c>
      <c r="F377" s="67" t="s">
        <v>1043</v>
      </c>
      <c r="G377" s="60" t="s">
        <v>320</v>
      </c>
      <c r="H377" s="60" t="b">
        <v>0</v>
      </c>
      <c r="I377" s="60" t="b">
        <v>1</v>
      </c>
      <c r="J377" s="60" t="b">
        <v>0</v>
      </c>
      <c r="K377" s="60" t="b">
        <v>0</v>
      </c>
      <c r="L377" s="60" t="b">
        <v>0</v>
      </c>
      <c r="M377" s="60" t="b">
        <v>0</v>
      </c>
      <c r="N377" s="60" t="b">
        <v>0</v>
      </c>
      <c r="O377" s="60" t="b">
        <v>0</v>
      </c>
      <c r="P377" s="60" t="b">
        <v>0</v>
      </c>
      <c r="Q377" s="60" t="b">
        <v>0</v>
      </c>
      <c r="R377" s="60" t="b">
        <v>0</v>
      </c>
      <c r="S377" s="60" t="b">
        <v>1</v>
      </c>
      <c r="T377" s="60" t="b">
        <v>0</v>
      </c>
      <c r="U377" s="60" t="b">
        <v>0</v>
      </c>
      <c r="V377" s="60" t="b">
        <v>0</v>
      </c>
      <c r="W377" s="60" t="b">
        <v>0</v>
      </c>
    </row>
    <row r="378" spans="1:23" ht="28" x14ac:dyDescent="0.15">
      <c r="A378" s="62" t="s">
        <v>1044</v>
      </c>
      <c r="B378" s="62" t="s">
        <v>66</v>
      </c>
      <c r="C378" s="64" t="s">
        <v>974</v>
      </c>
      <c r="D378" s="66" t="s">
        <v>1040</v>
      </c>
      <c r="E378" s="64" t="s">
        <v>82</v>
      </c>
      <c r="F378" s="67" t="s">
        <v>1045</v>
      </c>
      <c r="G378" s="60" t="s">
        <v>113</v>
      </c>
      <c r="H378" s="60" t="b">
        <v>0</v>
      </c>
      <c r="I378" s="60" t="b">
        <v>1</v>
      </c>
      <c r="J378" s="60" t="b">
        <v>0</v>
      </c>
      <c r="K378" s="60" t="b">
        <v>0</v>
      </c>
      <c r="L378" s="60" t="b">
        <v>0</v>
      </c>
      <c r="M378" s="60" t="b">
        <v>0</v>
      </c>
      <c r="N378" s="60" t="b">
        <v>0</v>
      </c>
      <c r="O378" s="60" t="b">
        <v>0</v>
      </c>
      <c r="P378" s="60" t="b">
        <v>0</v>
      </c>
      <c r="Q378" s="60" t="b">
        <v>0</v>
      </c>
      <c r="R378" s="60" t="b">
        <v>0</v>
      </c>
      <c r="S378" s="60" t="b">
        <v>0</v>
      </c>
      <c r="T378" s="60" t="b">
        <v>0</v>
      </c>
      <c r="U378" s="60" t="b">
        <v>0</v>
      </c>
      <c r="V378" s="60" t="b">
        <v>0</v>
      </c>
      <c r="W378" s="60" t="b">
        <v>0</v>
      </c>
    </row>
    <row r="379" spans="1:23" ht="28" x14ac:dyDescent="0.15">
      <c r="A379" s="62" t="s">
        <v>1046</v>
      </c>
      <c r="B379" s="62" t="s">
        <v>66</v>
      </c>
      <c r="C379" s="64" t="s">
        <v>974</v>
      </c>
      <c r="D379" s="66" t="s">
        <v>1040</v>
      </c>
      <c r="E379" s="64" t="s">
        <v>82</v>
      </c>
      <c r="F379" s="67" t="s">
        <v>1047</v>
      </c>
      <c r="G379" s="60" t="s">
        <v>113</v>
      </c>
      <c r="H379" s="60" t="b">
        <v>0</v>
      </c>
      <c r="I379" s="60" t="b">
        <v>1</v>
      </c>
      <c r="J379" s="60" t="b">
        <v>0</v>
      </c>
      <c r="K379" s="60" t="b">
        <v>0</v>
      </c>
      <c r="L379" s="60" t="b">
        <v>0</v>
      </c>
      <c r="M379" s="60" t="b">
        <v>0</v>
      </c>
      <c r="N379" s="60" t="b">
        <v>0</v>
      </c>
      <c r="O379" s="60" t="b">
        <v>0</v>
      </c>
      <c r="P379" s="60" t="b">
        <v>0</v>
      </c>
      <c r="Q379" s="60" t="b">
        <v>0</v>
      </c>
      <c r="R379" s="60" t="b">
        <v>0</v>
      </c>
      <c r="S379" s="60" t="b">
        <v>0</v>
      </c>
      <c r="T379" s="60" t="b">
        <v>0</v>
      </c>
      <c r="U379" s="60" t="b">
        <v>0</v>
      </c>
      <c r="V379" s="60" t="b">
        <v>0</v>
      </c>
      <c r="W379" s="60" t="b">
        <v>0</v>
      </c>
    </row>
    <row r="380" spans="1:23" ht="56" x14ac:dyDescent="0.15">
      <c r="A380" s="62" t="s">
        <v>1048</v>
      </c>
      <c r="B380" s="62" t="s">
        <v>66</v>
      </c>
      <c r="C380" s="64" t="s">
        <v>974</v>
      </c>
      <c r="D380" s="66" t="s">
        <v>1049</v>
      </c>
      <c r="E380" s="64" t="s">
        <v>1050</v>
      </c>
      <c r="F380" s="67" t="s">
        <v>1051</v>
      </c>
      <c r="G380" s="60" t="s">
        <v>1052</v>
      </c>
      <c r="H380" s="60" t="b">
        <v>0</v>
      </c>
      <c r="I380" s="60" t="b">
        <v>1</v>
      </c>
      <c r="J380" s="60" t="b">
        <v>0</v>
      </c>
      <c r="K380" s="60" t="b">
        <v>0</v>
      </c>
      <c r="L380" s="60" t="b">
        <v>0</v>
      </c>
      <c r="M380" s="60" t="b">
        <v>0</v>
      </c>
      <c r="N380" s="60" t="b">
        <v>0</v>
      </c>
      <c r="O380" s="60" t="b">
        <v>0</v>
      </c>
      <c r="P380" s="60" t="b">
        <v>1</v>
      </c>
      <c r="Q380" s="60" t="b">
        <v>0</v>
      </c>
      <c r="R380" s="60" t="b">
        <v>0</v>
      </c>
      <c r="S380" s="60" t="b">
        <v>0</v>
      </c>
      <c r="T380" s="60" t="b">
        <v>0</v>
      </c>
      <c r="U380" s="60" t="b">
        <v>0</v>
      </c>
      <c r="V380" s="60" t="b">
        <v>0</v>
      </c>
      <c r="W380" s="60" t="b">
        <v>0</v>
      </c>
    </row>
    <row r="381" spans="1:23" ht="14" x14ac:dyDescent="0.15">
      <c r="A381" s="62" t="s">
        <v>1053</v>
      </c>
      <c r="B381" s="62" t="s">
        <v>66</v>
      </c>
      <c r="C381" s="64" t="s">
        <v>974</v>
      </c>
      <c r="D381" s="66" t="s">
        <v>1049</v>
      </c>
      <c r="E381" s="64" t="s">
        <v>1050</v>
      </c>
      <c r="F381" s="67" t="s">
        <v>1054</v>
      </c>
      <c r="G381" s="60" t="s">
        <v>120</v>
      </c>
      <c r="H381" s="60" t="b">
        <v>0</v>
      </c>
      <c r="I381" s="60" t="b">
        <v>0</v>
      </c>
      <c r="J381" s="60" t="b">
        <v>0</v>
      </c>
      <c r="K381" s="60" t="b">
        <v>0</v>
      </c>
      <c r="L381" s="60" t="b">
        <v>0</v>
      </c>
      <c r="M381" s="60" t="b">
        <v>0</v>
      </c>
      <c r="N381" s="60" t="b">
        <v>0</v>
      </c>
      <c r="O381" s="60" t="b">
        <v>0</v>
      </c>
      <c r="P381" s="60" t="b">
        <v>1</v>
      </c>
      <c r="Q381" s="60" t="b">
        <v>0</v>
      </c>
      <c r="R381" s="60" t="b">
        <v>0</v>
      </c>
      <c r="S381" s="60" t="b">
        <v>0</v>
      </c>
      <c r="T381" s="60" t="b">
        <v>0</v>
      </c>
      <c r="U381" s="60" t="b">
        <v>0</v>
      </c>
      <c r="V381" s="60" t="b">
        <v>0</v>
      </c>
      <c r="W381" s="60" t="b">
        <v>0</v>
      </c>
    </row>
    <row r="382" spans="1:23" ht="28" x14ac:dyDescent="0.15">
      <c r="A382" s="62" t="s">
        <v>1055</v>
      </c>
      <c r="B382" s="62" t="s">
        <v>66</v>
      </c>
      <c r="C382" s="64" t="s">
        <v>974</v>
      </c>
      <c r="D382" s="66" t="s">
        <v>1049</v>
      </c>
      <c r="E382" s="64" t="s">
        <v>1050</v>
      </c>
      <c r="F382" s="67" t="s">
        <v>1056</v>
      </c>
      <c r="G382" s="60" t="s">
        <v>120</v>
      </c>
      <c r="H382" s="60" t="b">
        <v>0</v>
      </c>
      <c r="I382" s="60" t="b">
        <v>0</v>
      </c>
      <c r="J382" s="60" t="b">
        <v>0</v>
      </c>
      <c r="K382" s="60" t="b">
        <v>0</v>
      </c>
      <c r="L382" s="60" t="b">
        <v>0</v>
      </c>
      <c r="M382" s="60" t="b">
        <v>0</v>
      </c>
      <c r="N382" s="60" t="b">
        <v>0</v>
      </c>
      <c r="O382" s="60" t="b">
        <v>0</v>
      </c>
      <c r="P382" s="60" t="b">
        <v>1</v>
      </c>
      <c r="Q382" s="60" t="b">
        <v>0</v>
      </c>
      <c r="R382" s="60" t="b">
        <v>0</v>
      </c>
      <c r="S382" s="60" t="b">
        <v>0</v>
      </c>
      <c r="T382" s="60" t="b">
        <v>0</v>
      </c>
      <c r="U382" s="60" t="b">
        <v>0</v>
      </c>
      <c r="V382" s="60" t="b">
        <v>0</v>
      </c>
      <c r="W382" s="60" t="b">
        <v>0</v>
      </c>
    </row>
    <row r="383" spans="1:23" ht="84" x14ac:dyDescent="0.15">
      <c r="A383" s="62" t="s">
        <v>1057</v>
      </c>
      <c r="B383" s="62" t="s">
        <v>66</v>
      </c>
      <c r="C383" s="64" t="s">
        <v>974</v>
      </c>
      <c r="D383" s="66" t="s">
        <v>1049</v>
      </c>
      <c r="E383" s="64" t="s">
        <v>1058</v>
      </c>
      <c r="F383" s="67" t="s">
        <v>1059</v>
      </c>
      <c r="G383" s="60" t="s">
        <v>120</v>
      </c>
      <c r="H383" s="60" t="b">
        <v>0</v>
      </c>
      <c r="I383" s="60" t="b">
        <v>0</v>
      </c>
      <c r="J383" s="60" t="b">
        <v>0</v>
      </c>
      <c r="K383" s="60" t="b">
        <v>0</v>
      </c>
      <c r="L383" s="60" t="b">
        <v>0</v>
      </c>
      <c r="M383" s="60" t="b">
        <v>0</v>
      </c>
      <c r="N383" s="60" t="b">
        <v>0</v>
      </c>
      <c r="O383" s="60" t="b">
        <v>0</v>
      </c>
      <c r="P383" s="60" t="b">
        <v>1</v>
      </c>
      <c r="Q383" s="60" t="b">
        <v>0</v>
      </c>
      <c r="R383" s="60" t="b">
        <v>0</v>
      </c>
      <c r="S383" s="60" t="b">
        <v>0</v>
      </c>
      <c r="T383" s="60" t="b">
        <v>0</v>
      </c>
      <c r="U383" s="60" t="b">
        <v>0</v>
      </c>
      <c r="V383" s="60" t="b">
        <v>0</v>
      </c>
      <c r="W383" s="60" t="b">
        <v>0</v>
      </c>
    </row>
  </sheetData>
  <autoFilter ref="A2:W383" xr:uid="{00000000-0009-0000-0000-000009000000}">
    <sortState xmlns:xlrd2="http://schemas.microsoft.com/office/spreadsheetml/2017/richdata2" ref="A2:W383">
      <sortCondition ref="A2:A383"/>
    </sortState>
  </autoFilter>
  <mergeCells count="2">
    <mergeCell ref="F1:G1"/>
    <mergeCell ref="H1:W1"/>
  </mergeCells>
  <conditionalFormatting sqref="F3:W383">
    <cfRule type="cellIs" dxfId="19" priority="1" operator="equal">
      <formula>TRUE</formula>
    </cfRule>
  </conditionalFormatting>
  <conditionalFormatting sqref="F3:W383">
    <cfRule type="cellIs" dxfId="18" priority="2" operator="equal">
      <formula>FALSE</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I78"/>
  <sheetViews>
    <sheetView workbookViewId="0"/>
  </sheetViews>
  <sheetFormatPr baseColWidth="10" defaultColWidth="12.6640625" defaultRowHeight="15.75" customHeight="1" x14ac:dyDescent="0.15"/>
  <sheetData>
    <row r="1" spans="1:9" ht="15.75" customHeight="1" x14ac:dyDescent="0.15">
      <c r="A1" s="68" t="s">
        <v>1060</v>
      </c>
      <c r="B1" s="68" t="s">
        <v>1061</v>
      </c>
      <c r="C1" s="68" t="s">
        <v>1062</v>
      </c>
      <c r="D1" s="68" t="s">
        <v>1063</v>
      </c>
      <c r="E1" s="68" t="s">
        <v>1064</v>
      </c>
      <c r="F1" s="68" t="s">
        <v>1065</v>
      </c>
      <c r="G1" s="68" t="s">
        <v>1065</v>
      </c>
      <c r="H1" s="68" t="s">
        <v>1065</v>
      </c>
      <c r="I1" s="68" t="s">
        <v>1065</v>
      </c>
    </row>
    <row r="2" spans="1:9" ht="15.75" customHeight="1" x14ac:dyDescent="0.15">
      <c r="A2" s="68">
        <v>1</v>
      </c>
      <c r="B2" s="68">
        <v>1</v>
      </c>
      <c r="C2" s="68" t="s">
        <v>1066</v>
      </c>
      <c r="D2" s="68">
        <v>1</v>
      </c>
      <c r="E2" s="68" t="s">
        <v>1067</v>
      </c>
      <c r="F2" s="68" t="s">
        <v>1068</v>
      </c>
      <c r="G2" s="68" t="s">
        <v>1069</v>
      </c>
      <c r="H2" s="68" t="s">
        <v>1070</v>
      </c>
      <c r="I2" s="68" t="s">
        <v>50</v>
      </c>
    </row>
    <row r="3" spans="1:9" ht="15.75" customHeight="1" x14ac:dyDescent="0.15">
      <c r="A3" s="68">
        <v>1</v>
      </c>
      <c r="B3" s="68">
        <v>1</v>
      </c>
      <c r="C3" s="68" t="s">
        <v>1066</v>
      </c>
      <c r="D3" s="68">
        <v>2</v>
      </c>
      <c r="E3" s="68" t="s">
        <v>1071</v>
      </c>
      <c r="F3" s="68" t="s">
        <v>1072</v>
      </c>
      <c r="G3" s="68" t="s">
        <v>1069</v>
      </c>
      <c r="H3" s="68" t="s">
        <v>19</v>
      </c>
      <c r="I3" s="68" t="s">
        <v>50</v>
      </c>
    </row>
    <row r="4" spans="1:9" ht="15.75" customHeight="1" x14ac:dyDescent="0.15">
      <c r="A4" s="68">
        <v>1</v>
      </c>
      <c r="B4" s="68">
        <v>1</v>
      </c>
      <c r="C4" s="68" t="s">
        <v>1066</v>
      </c>
      <c r="D4" s="68">
        <v>3</v>
      </c>
      <c r="E4" s="68" t="s">
        <v>1073</v>
      </c>
      <c r="F4" s="68" t="s">
        <v>1074</v>
      </c>
      <c r="G4" s="68" t="s">
        <v>1069</v>
      </c>
      <c r="H4" s="68" t="s">
        <v>1075</v>
      </c>
      <c r="I4" s="68" t="s">
        <v>50</v>
      </c>
    </row>
    <row r="5" spans="1:9" ht="15.75" customHeight="1" x14ac:dyDescent="0.15">
      <c r="A5" s="68">
        <v>1</v>
      </c>
      <c r="B5" s="68">
        <v>1</v>
      </c>
      <c r="C5" s="68" t="s">
        <v>1066</v>
      </c>
      <c r="D5" s="68">
        <v>4</v>
      </c>
      <c r="E5" s="68" t="s">
        <v>1076</v>
      </c>
      <c r="F5" s="68" t="s">
        <v>1077</v>
      </c>
      <c r="G5" s="68" t="s">
        <v>1069</v>
      </c>
      <c r="H5" s="68" t="s">
        <v>1075</v>
      </c>
      <c r="I5" s="68" t="s">
        <v>50</v>
      </c>
    </row>
    <row r="6" spans="1:9" ht="15.75" customHeight="1" x14ac:dyDescent="0.15">
      <c r="A6" s="68">
        <v>1</v>
      </c>
      <c r="B6" s="68">
        <v>1</v>
      </c>
      <c r="C6" s="68" t="s">
        <v>1066</v>
      </c>
      <c r="D6" s="68">
        <v>5</v>
      </c>
      <c r="E6" s="68" t="s">
        <v>1078</v>
      </c>
      <c r="F6" s="68" t="s">
        <v>1079</v>
      </c>
      <c r="G6" s="68" t="s">
        <v>1069</v>
      </c>
      <c r="H6" s="68" t="s">
        <v>1075</v>
      </c>
      <c r="I6" s="68" t="s">
        <v>50</v>
      </c>
    </row>
    <row r="7" spans="1:9" ht="15.75" customHeight="1" x14ac:dyDescent="0.15">
      <c r="A7" s="68">
        <v>1</v>
      </c>
      <c r="B7" s="68">
        <v>1</v>
      </c>
      <c r="C7" s="68" t="s">
        <v>1066</v>
      </c>
      <c r="D7" s="68">
        <v>6</v>
      </c>
      <c r="E7" s="68" t="s">
        <v>1080</v>
      </c>
      <c r="F7" s="68" t="s">
        <v>1081</v>
      </c>
      <c r="G7" s="68" t="s">
        <v>1069</v>
      </c>
      <c r="H7" s="68" t="s">
        <v>1082</v>
      </c>
      <c r="I7" s="68" t="s">
        <v>50</v>
      </c>
    </row>
    <row r="8" spans="1:9" ht="15.75" customHeight="1" x14ac:dyDescent="0.15">
      <c r="A8" s="68">
        <v>1</v>
      </c>
      <c r="B8" s="68">
        <v>1</v>
      </c>
      <c r="C8" s="68" t="s">
        <v>1083</v>
      </c>
      <c r="D8" s="68">
        <v>1</v>
      </c>
      <c r="E8" s="68" t="s">
        <v>1084</v>
      </c>
      <c r="F8" s="68" t="s">
        <v>1085</v>
      </c>
      <c r="G8" s="68">
        <v>1.4</v>
      </c>
      <c r="H8" s="68" t="s">
        <v>1086</v>
      </c>
      <c r="I8" s="68" t="s">
        <v>1087</v>
      </c>
    </row>
    <row r="9" spans="1:9" ht="15.75" customHeight="1" x14ac:dyDescent="0.15">
      <c r="A9" s="68">
        <v>1</v>
      </c>
      <c r="B9" s="68">
        <v>1</v>
      </c>
      <c r="C9" s="68" t="s">
        <v>1083</v>
      </c>
      <c r="D9" s="68">
        <v>2</v>
      </c>
      <c r="E9" s="68" t="s">
        <v>1088</v>
      </c>
      <c r="F9" s="68" t="s">
        <v>1089</v>
      </c>
      <c r="G9" s="68">
        <v>1.4</v>
      </c>
      <c r="H9" s="68" t="s">
        <v>1086</v>
      </c>
      <c r="I9" s="68" t="s">
        <v>1087</v>
      </c>
    </row>
    <row r="10" spans="1:9" ht="15.75" customHeight="1" x14ac:dyDescent="0.15">
      <c r="A10" s="68">
        <v>1</v>
      </c>
      <c r="B10" s="68">
        <v>1</v>
      </c>
      <c r="C10" s="68" t="s">
        <v>1083</v>
      </c>
      <c r="D10" s="68">
        <v>3</v>
      </c>
      <c r="E10" s="68" t="s">
        <v>1090</v>
      </c>
      <c r="F10" s="68" t="s">
        <v>1091</v>
      </c>
      <c r="G10" s="68">
        <v>1.4</v>
      </c>
      <c r="H10" s="68" t="s">
        <v>1086</v>
      </c>
      <c r="I10" s="68" t="s">
        <v>1087</v>
      </c>
    </row>
    <row r="11" spans="1:9" ht="15.75" customHeight="1" x14ac:dyDescent="0.15">
      <c r="A11" s="68">
        <v>1</v>
      </c>
      <c r="B11" s="68">
        <v>1</v>
      </c>
      <c r="C11" s="68" t="s">
        <v>1083</v>
      </c>
      <c r="D11" s="68">
        <v>4</v>
      </c>
      <c r="E11" s="68" t="s">
        <v>1092</v>
      </c>
      <c r="F11" s="68" t="s">
        <v>1093</v>
      </c>
      <c r="G11" s="68">
        <v>1.4</v>
      </c>
      <c r="H11" s="68" t="s">
        <v>1094</v>
      </c>
      <c r="I11" s="68" t="s">
        <v>1087</v>
      </c>
    </row>
    <row r="12" spans="1:9" ht="15.75" customHeight="1" x14ac:dyDescent="0.15">
      <c r="A12" s="68">
        <v>1</v>
      </c>
      <c r="B12" s="68">
        <v>1</v>
      </c>
      <c r="C12" s="68" t="s">
        <v>1083</v>
      </c>
      <c r="D12" s="68">
        <v>5</v>
      </c>
      <c r="E12" s="68" t="s">
        <v>1095</v>
      </c>
      <c r="F12" s="68" t="s">
        <v>1096</v>
      </c>
      <c r="G12" s="68">
        <v>1.4</v>
      </c>
      <c r="H12" s="68" t="s">
        <v>1086</v>
      </c>
      <c r="I12" s="68" t="s">
        <v>1087</v>
      </c>
    </row>
    <row r="13" spans="1:9" ht="15.75" customHeight="1" x14ac:dyDescent="0.15">
      <c r="A13" s="68">
        <v>1</v>
      </c>
      <c r="B13" s="68">
        <v>1</v>
      </c>
      <c r="C13" s="68" t="s">
        <v>1083</v>
      </c>
      <c r="D13" s="68">
        <v>6</v>
      </c>
      <c r="E13" s="68" t="s">
        <v>1097</v>
      </c>
      <c r="F13" s="68" t="s">
        <v>1098</v>
      </c>
      <c r="G13" s="68">
        <v>1.4</v>
      </c>
      <c r="H13" s="68" t="s">
        <v>1094</v>
      </c>
      <c r="I13" s="68" t="s">
        <v>1087</v>
      </c>
    </row>
    <row r="14" spans="1:9" ht="15.75" customHeight="1" x14ac:dyDescent="0.15">
      <c r="A14" s="68">
        <v>1</v>
      </c>
      <c r="B14" s="68">
        <v>1</v>
      </c>
      <c r="C14" s="68" t="s">
        <v>1099</v>
      </c>
      <c r="D14" s="68">
        <v>1</v>
      </c>
      <c r="E14" s="68" t="s">
        <v>1100</v>
      </c>
      <c r="F14" s="68" t="s">
        <v>1101</v>
      </c>
      <c r="G14" s="68" t="s">
        <v>1102</v>
      </c>
      <c r="H14" s="68" t="s">
        <v>1086</v>
      </c>
      <c r="I14" s="68" t="s">
        <v>52</v>
      </c>
    </row>
    <row r="15" spans="1:9" ht="15.75" customHeight="1" x14ac:dyDescent="0.15">
      <c r="A15" s="68">
        <v>1</v>
      </c>
      <c r="B15" s="68">
        <v>1</v>
      </c>
      <c r="C15" s="68" t="s">
        <v>1099</v>
      </c>
      <c r="D15" s="68">
        <v>2</v>
      </c>
      <c r="E15" s="68" t="s">
        <v>1103</v>
      </c>
      <c r="F15" s="68" t="s">
        <v>1104</v>
      </c>
      <c r="G15" s="68" t="s">
        <v>1102</v>
      </c>
      <c r="H15" s="68" t="s">
        <v>1086</v>
      </c>
      <c r="I15" s="68" t="s">
        <v>52</v>
      </c>
    </row>
    <row r="16" spans="1:9" ht="15.75" customHeight="1" x14ac:dyDescent="0.15">
      <c r="A16" s="68">
        <v>1</v>
      </c>
      <c r="B16" s="68">
        <v>1</v>
      </c>
      <c r="C16" s="68" t="s">
        <v>1099</v>
      </c>
      <c r="D16" s="68">
        <v>3</v>
      </c>
      <c r="E16" s="68" t="s">
        <v>1105</v>
      </c>
      <c r="F16" s="68" t="s">
        <v>1106</v>
      </c>
      <c r="G16" s="68" t="s">
        <v>1102</v>
      </c>
      <c r="H16" s="68" t="s">
        <v>1086</v>
      </c>
      <c r="I16" s="68" t="s">
        <v>52</v>
      </c>
    </row>
    <row r="17" spans="1:9" ht="15.75" customHeight="1" x14ac:dyDescent="0.15">
      <c r="A17" s="68">
        <v>1</v>
      </c>
      <c r="B17" s="68">
        <v>1</v>
      </c>
      <c r="C17" s="68" t="s">
        <v>1099</v>
      </c>
      <c r="D17" s="68">
        <v>4</v>
      </c>
      <c r="E17" s="68" t="s">
        <v>1107</v>
      </c>
      <c r="F17" s="68" t="s">
        <v>1108</v>
      </c>
      <c r="G17" s="68" t="s">
        <v>1102</v>
      </c>
      <c r="H17" s="68" t="s">
        <v>1086</v>
      </c>
      <c r="I17" s="68" t="s">
        <v>52</v>
      </c>
    </row>
    <row r="18" spans="1:9" ht="15.75" customHeight="1" x14ac:dyDescent="0.15">
      <c r="A18" s="68">
        <v>1</v>
      </c>
      <c r="B18" s="68">
        <v>1</v>
      </c>
      <c r="C18" s="68" t="s">
        <v>1099</v>
      </c>
      <c r="D18" s="68">
        <v>5</v>
      </c>
      <c r="E18" s="68" t="s">
        <v>1109</v>
      </c>
      <c r="F18" s="68" t="s">
        <v>1110</v>
      </c>
      <c r="G18" s="68" t="s">
        <v>1102</v>
      </c>
      <c r="H18" s="68" t="s">
        <v>1094</v>
      </c>
      <c r="I18" s="68" t="s">
        <v>52</v>
      </c>
    </row>
    <row r="19" spans="1:9" ht="15.75" customHeight="1" x14ac:dyDescent="0.15">
      <c r="A19" s="68">
        <v>1</v>
      </c>
      <c r="B19" s="68">
        <v>1</v>
      </c>
      <c r="C19" s="68" t="s">
        <v>1099</v>
      </c>
      <c r="D19" s="68">
        <v>6</v>
      </c>
      <c r="E19" s="68" t="s">
        <v>1111</v>
      </c>
      <c r="F19" s="68" t="s">
        <v>1112</v>
      </c>
      <c r="G19" s="68" t="s">
        <v>1102</v>
      </c>
      <c r="H19" s="68" t="s">
        <v>1086</v>
      </c>
      <c r="I19" s="68" t="s">
        <v>52</v>
      </c>
    </row>
    <row r="20" spans="1:9" ht="15.75" customHeight="1" x14ac:dyDescent="0.15">
      <c r="A20" s="68">
        <v>1</v>
      </c>
      <c r="B20" s="68">
        <v>1</v>
      </c>
      <c r="C20" s="68" t="s">
        <v>1113</v>
      </c>
      <c r="D20" s="68">
        <v>1</v>
      </c>
      <c r="E20" s="68" t="s">
        <v>1114</v>
      </c>
      <c r="F20" s="68" t="s">
        <v>1115</v>
      </c>
      <c r="G20" s="68" t="s">
        <v>1102</v>
      </c>
      <c r="H20" s="68" t="s">
        <v>13</v>
      </c>
      <c r="I20" s="68" t="s">
        <v>51</v>
      </c>
    </row>
    <row r="21" spans="1:9" ht="15.75" customHeight="1" x14ac:dyDescent="0.15">
      <c r="A21" s="68">
        <v>1</v>
      </c>
      <c r="B21" s="68">
        <v>1</v>
      </c>
      <c r="C21" s="68" t="s">
        <v>1113</v>
      </c>
      <c r="D21" s="68">
        <v>2</v>
      </c>
      <c r="E21" s="68" t="s">
        <v>1116</v>
      </c>
      <c r="F21" s="68" t="s">
        <v>1117</v>
      </c>
      <c r="G21" s="68" t="s">
        <v>1102</v>
      </c>
      <c r="H21" s="68" t="s">
        <v>13</v>
      </c>
      <c r="I21" s="68" t="s">
        <v>51</v>
      </c>
    </row>
    <row r="22" spans="1:9" ht="15.75" customHeight="1" x14ac:dyDescent="0.15">
      <c r="A22" s="68">
        <v>1</v>
      </c>
      <c r="B22" s="68">
        <v>1</v>
      </c>
      <c r="C22" s="68" t="s">
        <v>1113</v>
      </c>
      <c r="D22" s="68">
        <v>3</v>
      </c>
      <c r="E22" s="68" t="s">
        <v>1118</v>
      </c>
      <c r="F22" s="68" t="s">
        <v>1119</v>
      </c>
      <c r="G22" s="68" t="s">
        <v>1102</v>
      </c>
      <c r="H22" s="68" t="s">
        <v>13</v>
      </c>
      <c r="I22" s="68" t="s">
        <v>51</v>
      </c>
    </row>
    <row r="23" spans="1:9" ht="15.75" customHeight="1" x14ac:dyDescent="0.15">
      <c r="A23" s="68">
        <v>1</v>
      </c>
      <c r="B23" s="68">
        <v>1</v>
      </c>
      <c r="C23" s="68" t="s">
        <v>1113</v>
      </c>
      <c r="D23" s="68">
        <v>4</v>
      </c>
      <c r="E23" s="68" t="s">
        <v>1120</v>
      </c>
      <c r="F23" s="68" t="s">
        <v>1121</v>
      </c>
      <c r="G23" s="68" t="s">
        <v>1102</v>
      </c>
      <c r="H23" s="68" t="s">
        <v>13</v>
      </c>
      <c r="I23" s="68" t="s">
        <v>51</v>
      </c>
    </row>
    <row r="24" spans="1:9" ht="15.75" customHeight="1" x14ac:dyDescent="0.15">
      <c r="A24" s="68">
        <v>1</v>
      </c>
      <c r="B24" s="68">
        <v>1</v>
      </c>
      <c r="C24" s="68" t="s">
        <v>1113</v>
      </c>
      <c r="D24" s="68">
        <v>5</v>
      </c>
      <c r="E24" s="68" t="s">
        <v>1122</v>
      </c>
      <c r="F24" s="68" t="s">
        <v>1123</v>
      </c>
      <c r="G24" s="68" t="s">
        <v>1102</v>
      </c>
      <c r="H24" s="68" t="s">
        <v>13</v>
      </c>
      <c r="I24" s="68" t="s">
        <v>51</v>
      </c>
    </row>
    <row r="25" spans="1:9" ht="15.75" customHeight="1" x14ac:dyDescent="0.15">
      <c r="A25" s="68">
        <v>1</v>
      </c>
      <c r="B25" s="68">
        <v>1</v>
      </c>
      <c r="C25" s="68" t="s">
        <v>1113</v>
      </c>
      <c r="D25" s="68">
        <v>6</v>
      </c>
      <c r="E25" s="68" t="s">
        <v>1124</v>
      </c>
      <c r="F25" s="68" t="s">
        <v>1125</v>
      </c>
      <c r="G25" s="68" t="s">
        <v>1102</v>
      </c>
      <c r="H25" s="68" t="s">
        <v>13</v>
      </c>
      <c r="I25" s="68" t="s">
        <v>51</v>
      </c>
    </row>
    <row r="26" spans="1:9" ht="15.75" customHeight="1" x14ac:dyDescent="0.15">
      <c r="A26" s="68">
        <v>1</v>
      </c>
      <c r="B26" s="68">
        <v>1</v>
      </c>
      <c r="C26" s="68" t="s">
        <v>1126</v>
      </c>
      <c r="D26" s="68">
        <v>1</v>
      </c>
      <c r="E26" s="68" t="s">
        <v>1127</v>
      </c>
      <c r="F26" s="68" t="s">
        <v>1128</v>
      </c>
      <c r="G26" s="68" t="s">
        <v>1129</v>
      </c>
      <c r="H26" s="68" t="s">
        <v>25</v>
      </c>
      <c r="I26" s="68" t="s">
        <v>1087</v>
      </c>
    </row>
    <row r="27" spans="1:9" ht="15.75" customHeight="1" x14ac:dyDescent="0.15">
      <c r="A27" s="68">
        <v>1</v>
      </c>
      <c r="B27" s="68">
        <v>1</v>
      </c>
      <c r="C27" s="68" t="s">
        <v>1126</v>
      </c>
      <c r="D27" s="68">
        <v>2</v>
      </c>
      <c r="E27" s="68" t="s">
        <v>1130</v>
      </c>
      <c r="F27" s="68" t="s">
        <v>1131</v>
      </c>
      <c r="G27" s="68" t="s">
        <v>1129</v>
      </c>
      <c r="H27" s="68" t="s">
        <v>1132</v>
      </c>
      <c r="I27" s="68" t="s">
        <v>1087</v>
      </c>
    </row>
    <row r="28" spans="1:9" ht="15.75" customHeight="1" x14ac:dyDescent="0.15">
      <c r="A28" s="68">
        <v>1</v>
      </c>
      <c r="B28" s="68">
        <v>1</v>
      </c>
      <c r="C28" s="68" t="s">
        <v>1126</v>
      </c>
      <c r="D28" s="68">
        <v>3</v>
      </c>
      <c r="E28" s="68" t="s">
        <v>1133</v>
      </c>
      <c r="F28" s="68" t="s">
        <v>1134</v>
      </c>
      <c r="G28" s="68" t="s">
        <v>1129</v>
      </c>
      <c r="H28" s="68" t="s">
        <v>28</v>
      </c>
      <c r="I28" s="68" t="s">
        <v>1087</v>
      </c>
    </row>
    <row r="29" spans="1:9" ht="15.75" customHeight="1" x14ac:dyDescent="0.15">
      <c r="A29" s="68">
        <v>1</v>
      </c>
      <c r="B29" s="68">
        <v>1</v>
      </c>
      <c r="C29" s="68" t="s">
        <v>1126</v>
      </c>
      <c r="D29" s="68">
        <v>4</v>
      </c>
      <c r="E29" s="68" t="s">
        <v>1135</v>
      </c>
      <c r="F29" s="68" t="s">
        <v>1136</v>
      </c>
      <c r="G29" s="68" t="s">
        <v>1129</v>
      </c>
      <c r="H29" s="68" t="s">
        <v>28</v>
      </c>
      <c r="I29" s="68" t="s">
        <v>1087</v>
      </c>
    </row>
    <row r="30" spans="1:9" ht="15.75" customHeight="1" x14ac:dyDescent="0.15">
      <c r="A30" s="68">
        <v>1</v>
      </c>
      <c r="B30" s="68">
        <v>1</v>
      </c>
      <c r="C30" s="68" t="s">
        <v>1126</v>
      </c>
      <c r="D30" s="68">
        <v>5</v>
      </c>
      <c r="E30" s="68" t="s">
        <v>1137</v>
      </c>
      <c r="F30" s="68" t="s">
        <v>1138</v>
      </c>
      <c r="G30" s="68" t="s">
        <v>1129</v>
      </c>
      <c r="H30" s="68" t="s">
        <v>1139</v>
      </c>
      <c r="I30" s="68" t="s">
        <v>1087</v>
      </c>
    </row>
    <row r="31" spans="1:9" ht="15.75" customHeight="1" x14ac:dyDescent="0.15">
      <c r="A31" s="68">
        <v>1</v>
      </c>
      <c r="B31" s="68">
        <v>1</v>
      </c>
      <c r="C31" s="68" t="s">
        <v>1126</v>
      </c>
      <c r="D31" s="68">
        <v>6</v>
      </c>
      <c r="E31" s="68" t="s">
        <v>1140</v>
      </c>
      <c r="F31" s="68" t="s">
        <v>1141</v>
      </c>
      <c r="G31" s="68" t="s">
        <v>1129</v>
      </c>
      <c r="H31" s="68" t="s">
        <v>25</v>
      </c>
      <c r="I31" s="68" t="s">
        <v>1087</v>
      </c>
    </row>
    <row r="32" spans="1:9" ht="15.75" customHeight="1" x14ac:dyDescent="0.15">
      <c r="A32" s="68">
        <v>1</v>
      </c>
      <c r="B32" s="68">
        <v>1</v>
      </c>
      <c r="C32" s="68" t="s">
        <v>1142</v>
      </c>
      <c r="D32" s="68">
        <v>1</v>
      </c>
      <c r="E32" s="68" t="s">
        <v>1143</v>
      </c>
      <c r="F32" s="68" t="s">
        <v>1144</v>
      </c>
      <c r="G32" s="68" t="s">
        <v>1145</v>
      </c>
      <c r="H32" s="68" t="s">
        <v>28</v>
      </c>
      <c r="I32" s="68" t="s">
        <v>1087</v>
      </c>
    </row>
    <row r="33" spans="1:9" ht="15.75" customHeight="1" x14ac:dyDescent="0.15">
      <c r="A33" s="68">
        <v>1</v>
      </c>
      <c r="B33" s="68">
        <v>1</v>
      </c>
      <c r="C33" s="68" t="s">
        <v>1142</v>
      </c>
      <c r="D33" s="68">
        <v>2</v>
      </c>
      <c r="E33" s="68" t="s">
        <v>1146</v>
      </c>
      <c r="F33" s="68" t="s">
        <v>1147</v>
      </c>
      <c r="G33" s="68" t="s">
        <v>1145</v>
      </c>
      <c r="H33" s="68" t="s">
        <v>28</v>
      </c>
      <c r="I33" s="68" t="s">
        <v>1087</v>
      </c>
    </row>
    <row r="34" spans="1:9" ht="15.75" customHeight="1" x14ac:dyDescent="0.15">
      <c r="A34" s="68">
        <v>1</v>
      </c>
      <c r="B34" s="68">
        <v>1</v>
      </c>
      <c r="C34" s="68" t="s">
        <v>1142</v>
      </c>
      <c r="D34" s="68">
        <v>3</v>
      </c>
      <c r="E34" s="68" t="s">
        <v>1148</v>
      </c>
      <c r="F34" s="68" t="s">
        <v>1149</v>
      </c>
      <c r="G34" s="68" t="s">
        <v>1145</v>
      </c>
      <c r="H34" s="68" t="s">
        <v>28</v>
      </c>
      <c r="I34" s="68" t="s">
        <v>1087</v>
      </c>
    </row>
    <row r="35" spans="1:9" ht="15.75" customHeight="1" x14ac:dyDescent="0.15">
      <c r="A35" s="68">
        <v>1</v>
      </c>
      <c r="B35" s="68">
        <v>1</v>
      </c>
      <c r="C35" s="68" t="s">
        <v>1142</v>
      </c>
      <c r="D35" s="68">
        <v>4</v>
      </c>
      <c r="E35" s="68" t="s">
        <v>1150</v>
      </c>
      <c r="F35" s="68" t="s">
        <v>1151</v>
      </c>
      <c r="G35" s="68" t="s">
        <v>1145</v>
      </c>
      <c r="H35" s="68" t="s">
        <v>28</v>
      </c>
      <c r="I35" s="68" t="s">
        <v>1087</v>
      </c>
    </row>
    <row r="36" spans="1:9" ht="15.75" customHeight="1" x14ac:dyDescent="0.15">
      <c r="A36" s="68">
        <v>1</v>
      </c>
      <c r="B36" s="68">
        <v>1</v>
      </c>
      <c r="C36" s="68" t="s">
        <v>1142</v>
      </c>
      <c r="D36" s="68">
        <v>5</v>
      </c>
      <c r="E36" s="68" t="s">
        <v>1152</v>
      </c>
      <c r="F36" s="68" t="s">
        <v>1153</v>
      </c>
      <c r="G36" s="68" t="s">
        <v>1145</v>
      </c>
      <c r="H36" s="68" t="s">
        <v>1154</v>
      </c>
      <c r="I36" s="68" t="s">
        <v>1087</v>
      </c>
    </row>
    <row r="37" spans="1:9" ht="15.75" customHeight="1" x14ac:dyDescent="0.15">
      <c r="A37" s="68">
        <v>1</v>
      </c>
      <c r="B37" s="68">
        <v>1</v>
      </c>
      <c r="C37" s="68" t="s">
        <v>1142</v>
      </c>
      <c r="D37" s="68">
        <v>6</v>
      </c>
      <c r="E37" s="68" t="s">
        <v>1155</v>
      </c>
      <c r="F37" s="68" t="s">
        <v>1156</v>
      </c>
      <c r="G37" s="68" t="s">
        <v>1145</v>
      </c>
      <c r="H37" s="68" t="s">
        <v>1157</v>
      </c>
      <c r="I37" s="68" t="s">
        <v>1087</v>
      </c>
    </row>
    <row r="38" spans="1:9" ht="15.75" customHeight="1" x14ac:dyDescent="0.15">
      <c r="A38" s="68">
        <v>1</v>
      </c>
      <c r="B38" s="68">
        <v>2</v>
      </c>
      <c r="C38" s="68" t="s">
        <v>1158</v>
      </c>
      <c r="D38" s="68">
        <v>1</v>
      </c>
      <c r="E38" s="68" t="s">
        <v>1159</v>
      </c>
      <c r="F38" s="68" t="s">
        <v>1160</v>
      </c>
      <c r="G38" s="68" t="s">
        <v>1069</v>
      </c>
      <c r="H38" s="68" t="s">
        <v>1161</v>
      </c>
      <c r="I38" s="68" t="s">
        <v>53</v>
      </c>
    </row>
    <row r="39" spans="1:9" ht="15.75" customHeight="1" x14ac:dyDescent="0.15">
      <c r="A39" s="68">
        <v>1</v>
      </c>
      <c r="B39" s="68">
        <v>2</v>
      </c>
      <c r="C39" s="68" t="s">
        <v>1158</v>
      </c>
      <c r="D39" s="68">
        <v>2</v>
      </c>
      <c r="E39" s="68" t="s">
        <v>1162</v>
      </c>
      <c r="F39" s="68" t="s">
        <v>1163</v>
      </c>
      <c r="G39" s="68" t="s">
        <v>1069</v>
      </c>
      <c r="H39" s="68" t="s">
        <v>1164</v>
      </c>
      <c r="I39" s="68" t="s">
        <v>53</v>
      </c>
    </row>
    <row r="40" spans="1:9" ht="15.75" customHeight="1" x14ac:dyDescent="0.15">
      <c r="A40" s="68">
        <v>1</v>
      </c>
      <c r="B40" s="68">
        <v>2</v>
      </c>
      <c r="C40" s="68" t="s">
        <v>1158</v>
      </c>
      <c r="D40" s="68">
        <v>3</v>
      </c>
      <c r="E40" s="68" t="s">
        <v>1165</v>
      </c>
      <c r="F40" s="68" t="s">
        <v>1166</v>
      </c>
      <c r="G40" s="68" t="s">
        <v>1069</v>
      </c>
      <c r="H40" s="68" t="s">
        <v>1164</v>
      </c>
      <c r="I40" s="68" t="s">
        <v>53</v>
      </c>
    </row>
    <row r="41" spans="1:9" ht="15.75" customHeight="1" x14ac:dyDescent="0.15">
      <c r="A41" s="68">
        <v>1</v>
      </c>
      <c r="B41" s="68">
        <v>2</v>
      </c>
      <c r="C41" s="68" t="s">
        <v>1158</v>
      </c>
      <c r="D41" s="68">
        <v>4</v>
      </c>
      <c r="E41" s="68" t="s">
        <v>1167</v>
      </c>
      <c r="F41" s="68" t="s">
        <v>1168</v>
      </c>
      <c r="G41" s="68" t="s">
        <v>1069</v>
      </c>
      <c r="H41" s="68" t="s">
        <v>1164</v>
      </c>
      <c r="I41" s="68" t="s">
        <v>53</v>
      </c>
    </row>
    <row r="42" spans="1:9" ht="15.75" customHeight="1" x14ac:dyDescent="0.15">
      <c r="A42" s="68">
        <v>1</v>
      </c>
      <c r="B42" s="68">
        <v>2</v>
      </c>
      <c r="C42" s="68" t="s">
        <v>1158</v>
      </c>
      <c r="D42" s="68">
        <v>5</v>
      </c>
      <c r="E42" s="68" t="s">
        <v>1169</v>
      </c>
      <c r="F42" s="68" t="s">
        <v>1170</v>
      </c>
      <c r="G42" s="68" t="s">
        <v>1069</v>
      </c>
      <c r="H42" s="68" t="s">
        <v>1161</v>
      </c>
      <c r="I42" s="68" t="s">
        <v>53</v>
      </c>
    </row>
    <row r="43" spans="1:9" ht="15.75" customHeight="1" x14ac:dyDescent="0.15">
      <c r="A43" s="68">
        <v>1</v>
      </c>
      <c r="B43" s="68">
        <v>2</v>
      </c>
      <c r="C43" s="68" t="s">
        <v>1158</v>
      </c>
      <c r="D43" s="68">
        <v>6</v>
      </c>
      <c r="E43" s="68" t="s">
        <v>1171</v>
      </c>
      <c r="F43" s="68" t="s">
        <v>1172</v>
      </c>
      <c r="G43" s="68" t="s">
        <v>1069</v>
      </c>
      <c r="H43" s="68" t="s">
        <v>1173</v>
      </c>
      <c r="I43" s="68" t="s">
        <v>53</v>
      </c>
    </row>
    <row r="44" spans="1:9" ht="15.75" customHeight="1" x14ac:dyDescent="0.15">
      <c r="A44" s="68">
        <v>1</v>
      </c>
      <c r="B44" s="68">
        <v>2</v>
      </c>
      <c r="C44" s="68" t="s">
        <v>1174</v>
      </c>
      <c r="D44" s="68">
        <v>1</v>
      </c>
      <c r="E44" s="68" t="s">
        <v>1175</v>
      </c>
      <c r="F44" s="68" t="s">
        <v>1176</v>
      </c>
      <c r="G44" s="68" t="s">
        <v>1069</v>
      </c>
      <c r="H44" s="68" t="s">
        <v>1177</v>
      </c>
      <c r="I44" s="68" t="s">
        <v>54</v>
      </c>
    </row>
    <row r="45" spans="1:9" ht="15.75" customHeight="1" x14ac:dyDescent="0.15">
      <c r="A45" s="68">
        <v>1</v>
      </c>
      <c r="B45" s="68">
        <v>2</v>
      </c>
      <c r="C45" s="68" t="s">
        <v>1174</v>
      </c>
      <c r="D45" s="68">
        <v>2</v>
      </c>
      <c r="E45" s="68" t="s">
        <v>1178</v>
      </c>
      <c r="F45" s="68" t="s">
        <v>1179</v>
      </c>
      <c r="G45" s="68" t="s">
        <v>1069</v>
      </c>
      <c r="H45" s="68" t="s">
        <v>1180</v>
      </c>
      <c r="I45" s="68" t="s">
        <v>54</v>
      </c>
    </row>
    <row r="46" spans="1:9" ht="15.75" customHeight="1" x14ac:dyDescent="0.15">
      <c r="A46" s="68">
        <v>1</v>
      </c>
      <c r="B46" s="68">
        <v>2</v>
      </c>
      <c r="C46" s="68" t="s">
        <v>1174</v>
      </c>
      <c r="D46" s="68">
        <v>3</v>
      </c>
      <c r="E46" s="68" t="s">
        <v>1181</v>
      </c>
      <c r="F46" s="68" t="s">
        <v>1182</v>
      </c>
      <c r="G46" s="68" t="s">
        <v>1069</v>
      </c>
      <c r="H46" s="68" t="s">
        <v>1183</v>
      </c>
      <c r="I46" s="68" t="s">
        <v>54</v>
      </c>
    </row>
    <row r="47" spans="1:9" ht="15.75" customHeight="1" x14ac:dyDescent="0.15">
      <c r="A47" s="68">
        <v>1</v>
      </c>
      <c r="B47" s="68">
        <v>2</v>
      </c>
      <c r="C47" s="68" t="s">
        <v>1174</v>
      </c>
      <c r="D47" s="68">
        <v>4</v>
      </c>
      <c r="E47" s="68" t="s">
        <v>1184</v>
      </c>
      <c r="F47" s="68" t="s">
        <v>1185</v>
      </c>
      <c r="G47" s="68" t="s">
        <v>1069</v>
      </c>
      <c r="H47" s="68" t="s">
        <v>1094</v>
      </c>
      <c r="I47" s="68" t="s">
        <v>54</v>
      </c>
    </row>
    <row r="48" spans="1:9" ht="15.75" customHeight="1" x14ac:dyDescent="0.15">
      <c r="A48" s="68">
        <v>1</v>
      </c>
      <c r="B48" s="68">
        <v>2</v>
      </c>
      <c r="C48" s="68" t="s">
        <v>1174</v>
      </c>
      <c r="D48" s="68">
        <v>5</v>
      </c>
      <c r="E48" s="68" t="s">
        <v>1186</v>
      </c>
      <c r="F48" s="68" t="s">
        <v>1187</v>
      </c>
      <c r="G48" s="68" t="s">
        <v>1069</v>
      </c>
      <c r="H48" s="68" t="s">
        <v>1086</v>
      </c>
      <c r="I48" s="68" t="s">
        <v>54</v>
      </c>
    </row>
    <row r="49" spans="1:9" ht="15.75" customHeight="1" x14ac:dyDescent="0.15">
      <c r="A49" s="68">
        <v>1</v>
      </c>
      <c r="B49" s="68">
        <v>2</v>
      </c>
      <c r="C49" s="68" t="s">
        <v>1174</v>
      </c>
      <c r="D49" s="68">
        <v>6</v>
      </c>
      <c r="E49" s="68" t="s">
        <v>1188</v>
      </c>
      <c r="F49" s="68" t="s">
        <v>1189</v>
      </c>
      <c r="G49" s="68" t="s">
        <v>1069</v>
      </c>
      <c r="H49" s="68" t="s">
        <v>1086</v>
      </c>
      <c r="I49" s="68" t="s">
        <v>54</v>
      </c>
    </row>
    <row r="50" spans="1:9" ht="15.75" customHeight="1" x14ac:dyDescent="0.15">
      <c r="A50" s="68">
        <v>1</v>
      </c>
      <c r="B50" s="68">
        <v>2</v>
      </c>
      <c r="C50" s="68" t="s">
        <v>1190</v>
      </c>
      <c r="D50" s="68">
        <v>1</v>
      </c>
      <c r="E50" s="68" t="s">
        <v>1191</v>
      </c>
      <c r="F50" s="68" t="s">
        <v>1192</v>
      </c>
      <c r="G50" s="68">
        <v>1.4</v>
      </c>
      <c r="H50" s="68" t="s">
        <v>10</v>
      </c>
      <c r="I50" s="68" t="s">
        <v>51</v>
      </c>
    </row>
    <row r="51" spans="1:9" ht="13" x14ac:dyDescent="0.15">
      <c r="A51" s="68">
        <v>1</v>
      </c>
      <c r="B51" s="68">
        <v>2</v>
      </c>
      <c r="C51" s="68" t="s">
        <v>1190</v>
      </c>
      <c r="D51" s="68">
        <v>2</v>
      </c>
      <c r="E51" s="68" t="s">
        <v>1193</v>
      </c>
      <c r="F51" s="68" t="s">
        <v>1194</v>
      </c>
      <c r="G51" s="68">
        <v>1.4</v>
      </c>
      <c r="H51" s="68" t="s">
        <v>10</v>
      </c>
      <c r="I51" s="68" t="s">
        <v>51</v>
      </c>
    </row>
    <row r="52" spans="1:9" ht="13" x14ac:dyDescent="0.15">
      <c r="A52" s="68">
        <v>1</v>
      </c>
      <c r="B52" s="68">
        <v>2</v>
      </c>
      <c r="C52" s="68" t="s">
        <v>1190</v>
      </c>
      <c r="D52" s="68">
        <v>3</v>
      </c>
      <c r="E52" s="68" t="s">
        <v>1195</v>
      </c>
      <c r="F52" s="68" t="s">
        <v>1196</v>
      </c>
      <c r="G52" s="68">
        <v>1.4</v>
      </c>
      <c r="H52" s="68" t="s">
        <v>1197</v>
      </c>
      <c r="I52" s="68" t="s">
        <v>51</v>
      </c>
    </row>
    <row r="53" spans="1:9" ht="13" x14ac:dyDescent="0.15">
      <c r="A53" s="68">
        <v>1</v>
      </c>
      <c r="B53" s="68">
        <v>2</v>
      </c>
      <c r="C53" s="68" t="s">
        <v>1190</v>
      </c>
      <c r="D53" s="68">
        <v>4</v>
      </c>
      <c r="E53" s="68" t="s">
        <v>1195</v>
      </c>
      <c r="F53" s="68" t="s">
        <v>1196</v>
      </c>
      <c r="G53" s="68">
        <v>1.4</v>
      </c>
      <c r="H53" s="68" t="s">
        <v>1197</v>
      </c>
      <c r="I53" s="68" t="s">
        <v>51</v>
      </c>
    </row>
    <row r="54" spans="1:9" ht="13" x14ac:dyDescent="0.15">
      <c r="A54" s="68">
        <v>1</v>
      </c>
      <c r="B54" s="68">
        <v>2</v>
      </c>
      <c r="C54" s="68" t="s">
        <v>1190</v>
      </c>
      <c r="D54" s="68">
        <v>5</v>
      </c>
      <c r="E54" s="68" t="s">
        <v>1198</v>
      </c>
      <c r="F54" s="68" t="s">
        <v>1199</v>
      </c>
      <c r="G54" s="68">
        <v>1.4</v>
      </c>
      <c r="H54" s="68" t="s">
        <v>1094</v>
      </c>
      <c r="I54" s="68" t="s">
        <v>51</v>
      </c>
    </row>
    <row r="55" spans="1:9" ht="13" x14ac:dyDescent="0.15">
      <c r="A55" s="68">
        <v>1</v>
      </c>
      <c r="B55" s="68">
        <v>2</v>
      </c>
      <c r="C55" s="68" t="s">
        <v>1190</v>
      </c>
      <c r="D55" s="68">
        <v>6</v>
      </c>
      <c r="E55" s="68" t="s">
        <v>1200</v>
      </c>
      <c r="F55" s="68" t="s">
        <v>1201</v>
      </c>
      <c r="G55" s="68">
        <v>1.4</v>
      </c>
      <c r="H55" s="68" t="s">
        <v>1086</v>
      </c>
      <c r="I55" s="68" t="s">
        <v>51</v>
      </c>
    </row>
    <row r="56" spans="1:9" ht="13" x14ac:dyDescent="0.15">
      <c r="A56" s="68">
        <v>1</v>
      </c>
      <c r="B56" s="68">
        <v>2</v>
      </c>
      <c r="C56" s="68" t="s">
        <v>1202</v>
      </c>
      <c r="D56" s="68">
        <v>1</v>
      </c>
      <c r="E56" s="68" t="s">
        <v>1203</v>
      </c>
      <c r="F56" s="68" t="s">
        <v>1204</v>
      </c>
      <c r="G56" s="68" t="s">
        <v>1102</v>
      </c>
      <c r="H56" s="68" t="s">
        <v>13</v>
      </c>
      <c r="I56" s="68" t="s">
        <v>1205</v>
      </c>
    </row>
    <row r="57" spans="1:9" ht="13" x14ac:dyDescent="0.15">
      <c r="A57" s="68">
        <v>1</v>
      </c>
      <c r="B57" s="68">
        <v>2</v>
      </c>
      <c r="C57" s="68" t="s">
        <v>1202</v>
      </c>
      <c r="D57" s="68">
        <v>2</v>
      </c>
      <c r="E57" s="68" t="s">
        <v>1206</v>
      </c>
      <c r="F57" s="68" t="s">
        <v>1207</v>
      </c>
      <c r="G57" s="68" t="s">
        <v>1102</v>
      </c>
      <c r="H57" s="68" t="s">
        <v>1208</v>
      </c>
      <c r="I57" s="68" t="s">
        <v>1205</v>
      </c>
    </row>
    <row r="58" spans="1:9" ht="13" x14ac:dyDescent="0.15">
      <c r="A58" s="68">
        <v>1</v>
      </c>
      <c r="B58" s="68">
        <v>2</v>
      </c>
      <c r="C58" s="68" t="s">
        <v>1202</v>
      </c>
      <c r="D58" s="68">
        <v>3</v>
      </c>
      <c r="E58" s="68" t="s">
        <v>1209</v>
      </c>
      <c r="F58" s="68" t="s">
        <v>1210</v>
      </c>
      <c r="G58" s="68" t="s">
        <v>1102</v>
      </c>
      <c r="H58" s="68" t="s">
        <v>1208</v>
      </c>
      <c r="I58" s="68" t="s">
        <v>1205</v>
      </c>
    </row>
    <row r="59" spans="1:9" ht="13" x14ac:dyDescent="0.15">
      <c r="A59" s="68">
        <v>1</v>
      </c>
      <c r="B59" s="68">
        <v>2</v>
      </c>
      <c r="C59" s="68" t="s">
        <v>1202</v>
      </c>
      <c r="D59" s="68">
        <v>4</v>
      </c>
      <c r="E59" s="68" t="s">
        <v>1211</v>
      </c>
      <c r="F59" s="68" t="s">
        <v>1212</v>
      </c>
      <c r="G59" s="68" t="s">
        <v>1102</v>
      </c>
      <c r="H59" s="68" t="s">
        <v>1208</v>
      </c>
      <c r="I59" s="68" t="s">
        <v>1205</v>
      </c>
    </row>
    <row r="60" spans="1:9" ht="13" x14ac:dyDescent="0.15">
      <c r="A60" s="68">
        <v>1</v>
      </c>
      <c r="B60" s="68">
        <v>2</v>
      </c>
      <c r="C60" s="68" t="s">
        <v>1202</v>
      </c>
      <c r="D60" s="68">
        <v>5</v>
      </c>
      <c r="E60" s="68" t="s">
        <v>1213</v>
      </c>
      <c r="F60" s="68" t="s">
        <v>1214</v>
      </c>
      <c r="G60" s="68" t="s">
        <v>1102</v>
      </c>
      <c r="H60" s="68" t="s">
        <v>1208</v>
      </c>
      <c r="I60" s="68" t="s">
        <v>1205</v>
      </c>
    </row>
    <row r="61" spans="1:9" ht="13" x14ac:dyDescent="0.15">
      <c r="A61" s="68">
        <v>1</v>
      </c>
      <c r="B61" s="68">
        <v>2</v>
      </c>
      <c r="C61" s="68" t="s">
        <v>1202</v>
      </c>
      <c r="D61" s="68">
        <v>6</v>
      </c>
      <c r="E61" s="68" t="s">
        <v>1215</v>
      </c>
      <c r="F61" s="68" t="s">
        <v>1216</v>
      </c>
      <c r="G61" s="68" t="s">
        <v>1102</v>
      </c>
      <c r="H61" s="68" t="s">
        <v>1217</v>
      </c>
      <c r="I61" s="68" t="s">
        <v>1205</v>
      </c>
    </row>
    <row r="62" spans="1:9" ht="13" x14ac:dyDescent="0.15">
      <c r="A62" s="68">
        <v>1</v>
      </c>
      <c r="B62" s="68">
        <v>2</v>
      </c>
      <c r="C62" s="68" t="s">
        <v>1218</v>
      </c>
      <c r="D62" s="68">
        <v>1</v>
      </c>
      <c r="E62" s="68" t="s">
        <v>1219</v>
      </c>
      <c r="F62" s="68" t="s">
        <v>1220</v>
      </c>
      <c r="G62" s="68" t="s">
        <v>1145</v>
      </c>
      <c r="H62" s="68" t="s">
        <v>25</v>
      </c>
      <c r="I62" s="68" t="s">
        <v>1087</v>
      </c>
    </row>
    <row r="63" spans="1:9" ht="13" x14ac:dyDescent="0.15">
      <c r="A63" s="68">
        <v>1</v>
      </c>
      <c r="B63" s="68">
        <v>2</v>
      </c>
      <c r="C63" s="68" t="s">
        <v>1218</v>
      </c>
      <c r="D63" s="68">
        <v>2</v>
      </c>
      <c r="E63" s="68" t="s">
        <v>1221</v>
      </c>
      <c r="F63" s="68" t="s">
        <v>1222</v>
      </c>
      <c r="G63" s="68" t="s">
        <v>1145</v>
      </c>
      <c r="H63" s="68" t="s">
        <v>25</v>
      </c>
      <c r="I63" s="68" t="s">
        <v>1087</v>
      </c>
    </row>
    <row r="64" spans="1:9" ht="13" x14ac:dyDescent="0.15">
      <c r="A64" s="68">
        <v>1</v>
      </c>
      <c r="B64" s="68">
        <v>2</v>
      </c>
      <c r="C64" s="68" t="s">
        <v>1218</v>
      </c>
      <c r="D64" s="68">
        <v>3</v>
      </c>
      <c r="E64" s="68" t="s">
        <v>1223</v>
      </c>
      <c r="F64" s="68" t="s">
        <v>1224</v>
      </c>
      <c r="G64" s="68" t="s">
        <v>1145</v>
      </c>
      <c r="H64" s="68" t="s">
        <v>1225</v>
      </c>
      <c r="I64" s="68" t="s">
        <v>1087</v>
      </c>
    </row>
    <row r="65" spans="1:9" ht="13" x14ac:dyDescent="0.15">
      <c r="A65" s="68">
        <v>1</v>
      </c>
      <c r="B65" s="68">
        <v>2</v>
      </c>
      <c r="C65" s="68" t="s">
        <v>1218</v>
      </c>
      <c r="D65" s="68">
        <v>4</v>
      </c>
      <c r="E65" s="68" t="s">
        <v>1226</v>
      </c>
      <c r="F65" s="68" t="s">
        <v>1227</v>
      </c>
      <c r="G65" s="68" t="s">
        <v>1145</v>
      </c>
      <c r="H65" s="68" t="s">
        <v>1157</v>
      </c>
      <c r="I65" s="68" t="s">
        <v>1087</v>
      </c>
    </row>
    <row r="66" spans="1:9" ht="13" x14ac:dyDescent="0.15">
      <c r="A66" s="68">
        <v>1</v>
      </c>
      <c r="B66" s="68">
        <v>2</v>
      </c>
      <c r="C66" s="68" t="s">
        <v>1218</v>
      </c>
      <c r="D66" s="68">
        <v>5</v>
      </c>
      <c r="E66" s="68" t="s">
        <v>1228</v>
      </c>
      <c r="F66" s="68" t="s">
        <v>1229</v>
      </c>
      <c r="G66" s="68" t="s">
        <v>1145</v>
      </c>
      <c r="H66" s="68" t="s">
        <v>1139</v>
      </c>
      <c r="I66" s="68" t="s">
        <v>1087</v>
      </c>
    </row>
    <row r="67" spans="1:9" ht="13" x14ac:dyDescent="0.15">
      <c r="A67" s="68">
        <v>1</v>
      </c>
      <c r="B67" s="68">
        <v>2</v>
      </c>
      <c r="C67" s="68" t="s">
        <v>1218</v>
      </c>
      <c r="D67" s="68">
        <v>6</v>
      </c>
      <c r="E67" s="68" t="s">
        <v>1230</v>
      </c>
      <c r="F67" s="68" t="s">
        <v>1231</v>
      </c>
      <c r="G67" s="68" t="s">
        <v>1145</v>
      </c>
      <c r="H67" s="68" t="s">
        <v>1157</v>
      </c>
      <c r="I67" s="68" t="s">
        <v>1087</v>
      </c>
    </row>
    <row r="68" spans="1:9" ht="13" x14ac:dyDescent="0.15">
      <c r="A68" s="68">
        <v>1</v>
      </c>
      <c r="B68" s="68">
        <v>2</v>
      </c>
      <c r="C68" s="68" t="s">
        <v>1232</v>
      </c>
      <c r="D68" s="68">
        <v>1</v>
      </c>
      <c r="E68" s="68" t="s">
        <v>1233</v>
      </c>
      <c r="F68" s="68" t="s">
        <v>1234</v>
      </c>
      <c r="G68" s="68" t="s">
        <v>1235</v>
      </c>
      <c r="H68" s="68" t="s">
        <v>28</v>
      </c>
      <c r="I68" s="68" t="s">
        <v>1087</v>
      </c>
    </row>
    <row r="69" spans="1:9" ht="13" x14ac:dyDescent="0.15">
      <c r="A69" s="68">
        <v>1</v>
      </c>
      <c r="B69" s="68">
        <v>2</v>
      </c>
      <c r="C69" s="68" t="s">
        <v>1232</v>
      </c>
      <c r="D69" s="68">
        <v>2</v>
      </c>
      <c r="E69" s="68" t="s">
        <v>1236</v>
      </c>
      <c r="F69" s="68" t="s">
        <v>1237</v>
      </c>
      <c r="G69" s="68" t="s">
        <v>1235</v>
      </c>
      <c r="H69" s="68" t="s">
        <v>28</v>
      </c>
      <c r="I69" s="68" t="s">
        <v>1087</v>
      </c>
    </row>
    <row r="70" spans="1:9" ht="13" x14ac:dyDescent="0.15">
      <c r="A70" s="68">
        <v>1</v>
      </c>
      <c r="B70" s="68">
        <v>2</v>
      </c>
      <c r="C70" s="68" t="s">
        <v>1232</v>
      </c>
      <c r="D70" s="68">
        <v>3</v>
      </c>
      <c r="E70" s="68" t="s">
        <v>1238</v>
      </c>
      <c r="F70" s="68" t="s">
        <v>1239</v>
      </c>
      <c r="G70" s="68" t="s">
        <v>1235</v>
      </c>
      <c r="H70" s="68" t="s">
        <v>1154</v>
      </c>
      <c r="I70" s="68" t="s">
        <v>1087</v>
      </c>
    </row>
    <row r="71" spans="1:9" ht="13" x14ac:dyDescent="0.15">
      <c r="A71" s="68">
        <v>1</v>
      </c>
      <c r="B71" s="68">
        <v>2</v>
      </c>
      <c r="C71" s="68" t="s">
        <v>1232</v>
      </c>
      <c r="D71" s="68">
        <v>4</v>
      </c>
      <c r="E71" s="68" t="s">
        <v>1240</v>
      </c>
      <c r="F71" s="68" t="s">
        <v>1241</v>
      </c>
      <c r="G71" s="68" t="s">
        <v>1235</v>
      </c>
      <c r="H71" s="68" t="s">
        <v>1154</v>
      </c>
      <c r="I71" s="68" t="s">
        <v>1087</v>
      </c>
    </row>
    <row r="72" spans="1:9" ht="13" x14ac:dyDescent="0.15">
      <c r="A72" s="68">
        <v>1</v>
      </c>
      <c r="B72" s="68">
        <v>2</v>
      </c>
      <c r="C72" s="68" t="s">
        <v>1232</v>
      </c>
      <c r="D72" s="68">
        <v>5</v>
      </c>
      <c r="E72" s="68" t="s">
        <v>1242</v>
      </c>
      <c r="F72" s="68" t="s">
        <v>1243</v>
      </c>
      <c r="G72" s="68" t="s">
        <v>1235</v>
      </c>
      <c r="H72" s="68" t="s">
        <v>1154</v>
      </c>
      <c r="I72" s="68" t="s">
        <v>1087</v>
      </c>
    </row>
    <row r="73" spans="1:9" ht="13" x14ac:dyDescent="0.15">
      <c r="A73" s="68">
        <v>1</v>
      </c>
      <c r="B73" s="68">
        <v>2</v>
      </c>
      <c r="C73" s="68" t="s">
        <v>1232</v>
      </c>
      <c r="D73" s="68">
        <v>6</v>
      </c>
      <c r="E73" s="68" t="s">
        <v>1244</v>
      </c>
      <c r="F73" s="68" t="s">
        <v>1245</v>
      </c>
      <c r="G73" s="68" t="s">
        <v>1235</v>
      </c>
      <c r="H73" s="68" t="s">
        <v>1154</v>
      </c>
      <c r="I73" s="68" t="s">
        <v>1087</v>
      </c>
    </row>
    <row r="78" spans="1:9" ht="120" x14ac:dyDescent="0.2">
      <c r="F78" s="13" t="s">
        <v>1245</v>
      </c>
    </row>
  </sheetData>
  <conditionalFormatting sqref="F78">
    <cfRule type="expression" dxfId="17" priority="1">
      <formula>$Y78=1</formula>
    </cfRule>
  </conditionalFormatting>
  <conditionalFormatting sqref="F78">
    <cfRule type="expression" dxfId="16" priority="2">
      <formula>$Y78=0</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I145"/>
  <sheetViews>
    <sheetView workbookViewId="0"/>
  </sheetViews>
  <sheetFormatPr baseColWidth="10" defaultColWidth="12.6640625" defaultRowHeight="15.75" customHeight="1" x14ac:dyDescent="0.15"/>
  <sheetData>
    <row r="1" spans="1:9" ht="15.75" customHeight="1" x14ac:dyDescent="0.15">
      <c r="A1" s="68" t="s">
        <v>1060</v>
      </c>
      <c r="B1" s="68" t="s">
        <v>1061</v>
      </c>
      <c r="C1" s="68" t="s">
        <v>1062</v>
      </c>
      <c r="D1" s="68" t="s">
        <v>1063</v>
      </c>
      <c r="E1" s="68" t="s">
        <v>1064</v>
      </c>
      <c r="F1" s="68" t="s">
        <v>1065</v>
      </c>
      <c r="G1" s="68" t="s">
        <v>1065</v>
      </c>
      <c r="H1" s="68" t="s">
        <v>1065</v>
      </c>
      <c r="I1" s="68" t="s">
        <v>1065</v>
      </c>
    </row>
    <row r="2" spans="1:9" ht="15.75" customHeight="1" x14ac:dyDescent="0.15">
      <c r="A2" s="68">
        <v>2</v>
      </c>
      <c r="B2" s="68">
        <v>3</v>
      </c>
      <c r="C2" s="68" t="s">
        <v>1246</v>
      </c>
      <c r="D2" s="68">
        <v>1</v>
      </c>
      <c r="E2" s="68" t="s">
        <v>1247</v>
      </c>
      <c r="F2" s="68" t="s">
        <v>1248</v>
      </c>
      <c r="G2" s="68" t="s">
        <v>1249</v>
      </c>
      <c r="H2" s="68" t="s">
        <v>19</v>
      </c>
      <c r="I2" s="68" t="s">
        <v>1087</v>
      </c>
    </row>
    <row r="3" spans="1:9" ht="15.75" customHeight="1" x14ac:dyDescent="0.15">
      <c r="A3" s="68">
        <v>2</v>
      </c>
      <c r="B3" s="68">
        <v>3</v>
      </c>
      <c r="C3" s="68" t="s">
        <v>1246</v>
      </c>
      <c r="D3" s="68">
        <v>2</v>
      </c>
      <c r="E3" s="68" t="s">
        <v>1250</v>
      </c>
      <c r="F3" s="68" t="s">
        <v>1251</v>
      </c>
      <c r="G3" s="68" t="s">
        <v>1249</v>
      </c>
      <c r="H3" s="68" t="s">
        <v>19</v>
      </c>
      <c r="I3" s="68" t="s">
        <v>1087</v>
      </c>
    </row>
    <row r="4" spans="1:9" ht="15.75" customHeight="1" x14ac:dyDescent="0.15">
      <c r="A4" s="68">
        <v>2</v>
      </c>
      <c r="B4" s="68">
        <v>3</v>
      </c>
      <c r="C4" s="68" t="s">
        <v>1246</v>
      </c>
      <c r="D4" s="68">
        <v>3</v>
      </c>
      <c r="E4" s="68" t="s">
        <v>1252</v>
      </c>
      <c r="F4" s="68" t="s">
        <v>1253</v>
      </c>
      <c r="G4" s="68" t="s">
        <v>1249</v>
      </c>
      <c r="H4" s="68" t="s">
        <v>1070</v>
      </c>
      <c r="I4" s="68" t="s">
        <v>1087</v>
      </c>
    </row>
    <row r="5" spans="1:9" ht="15.75" customHeight="1" x14ac:dyDescent="0.15">
      <c r="A5" s="68">
        <v>2</v>
      </c>
      <c r="B5" s="68">
        <v>3</v>
      </c>
      <c r="C5" s="68" t="s">
        <v>1246</v>
      </c>
      <c r="D5" s="68">
        <v>4</v>
      </c>
      <c r="E5" s="68" t="s">
        <v>1254</v>
      </c>
      <c r="F5" s="68" t="s">
        <v>1255</v>
      </c>
      <c r="G5" s="68" t="s">
        <v>1249</v>
      </c>
      <c r="H5" s="68" t="s">
        <v>1256</v>
      </c>
      <c r="I5" s="68" t="s">
        <v>1087</v>
      </c>
    </row>
    <row r="6" spans="1:9" ht="15.75" customHeight="1" x14ac:dyDescent="0.15">
      <c r="A6" s="68">
        <v>2</v>
      </c>
      <c r="B6" s="68">
        <v>3</v>
      </c>
      <c r="C6" s="68" t="s">
        <v>1246</v>
      </c>
      <c r="D6" s="68">
        <v>5</v>
      </c>
      <c r="E6" s="68" t="s">
        <v>1257</v>
      </c>
      <c r="F6" s="68" t="s">
        <v>1258</v>
      </c>
      <c r="G6" s="68" t="s">
        <v>1249</v>
      </c>
      <c r="H6" s="68" t="s">
        <v>1256</v>
      </c>
      <c r="I6" s="68" t="s">
        <v>1087</v>
      </c>
    </row>
    <row r="7" spans="1:9" ht="15.75" customHeight="1" x14ac:dyDescent="0.15">
      <c r="A7" s="68">
        <v>2</v>
      </c>
      <c r="B7" s="68">
        <v>3</v>
      </c>
      <c r="C7" s="68" t="s">
        <v>1246</v>
      </c>
      <c r="D7" s="68">
        <v>6</v>
      </c>
      <c r="E7" s="68" t="s">
        <v>1259</v>
      </c>
      <c r="F7" s="68" t="s">
        <v>1260</v>
      </c>
      <c r="G7" s="68" t="s">
        <v>1249</v>
      </c>
      <c r="H7" s="68" t="s">
        <v>1256</v>
      </c>
      <c r="I7" s="68" t="s">
        <v>1087</v>
      </c>
    </row>
    <row r="8" spans="1:9" ht="15.75" customHeight="1" x14ac:dyDescent="0.15">
      <c r="A8" s="68">
        <v>2</v>
      </c>
      <c r="B8" s="68">
        <v>3</v>
      </c>
      <c r="C8" s="68" t="s">
        <v>1261</v>
      </c>
      <c r="D8" s="68">
        <v>1</v>
      </c>
      <c r="E8" s="68" t="s">
        <v>1262</v>
      </c>
      <c r="F8" s="68" t="s">
        <v>1263</v>
      </c>
      <c r="G8" s="68" t="s">
        <v>1264</v>
      </c>
      <c r="H8" s="68" t="s">
        <v>1086</v>
      </c>
      <c r="I8" s="68" t="s">
        <v>55</v>
      </c>
    </row>
    <row r="9" spans="1:9" ht="15.75" customHeight="1" x14ac:dyDescent="0.15">
      <c r="A9" s="68">
        <v>2</v>
      </c>
      <c r="B9" s="68">
        <v>3</v>
      </c>
      <c r="C9" s="68" t="s">
        <v>1261</v>
      </c>
      <c r="D9" s="68">
        <v>2</v>
      </c>
      <c r="E9" s="68" t="s">
        <v>1265</v>
      </c>
      <c r="F9" s="68" t="s">
        <v>1266</v>
      </c>
      <c r="G9" s="68" t="s">
        <v>1264</v>
      </c>
      <c r="H9" s="68" t="s">
        <v>1086</v>
      </c>
      <c r="I9" s="68" t="s">
        <v>55</v>
      </c>
    </row>
    <row r="10" spans="1:9" ht="15.75" customHeight="1" x14ac:dyDescent="0.15">
      <c r="A10" s="68">
        <v>2</v>
      </c>
      <c r="B10" s="68">
        <v>3</v>
      </c>
      <c r="C10" s="68" t="s">
        <v>1261</v>
      </c>
      <c r="D10" s="68">
        <v>3</v>
      </c>
      <c r="E10" s="68" t="s">
        <v>1267</v>
      </c>
      <c r="F10" s="68" t="s">
        <v>1268</v>
      </c>
      <c r="G10" s="68" t="s">
        <v>1264</v>
      </c>
      <c r="H10" s="68" t="s">
        <v>1183</v>
      </c>
      <c r="I10" s="68" t="s">
        <v>55</v>
      </c>
    </row>
    <row r="11" spans="1:9" ht="15.75" customHeight="1" x14ac:dyDescent="0.15">
      <c r="A11" s="68">
        <v>2</v>
      </c>
      <c r="B11" s="68">
        <v>3</v>
      </c>
      <c r="C11" s="68" t="s">
        <v>1261</v>
      </c>
      <c r="D11" s="68">
        <v>4</v>
      </c>
      <c r="E11" s="68" t="s">
        <v>1269</v>
      </c>
      <c r="F11" s="68" t="s">
        <v>1270</v>
      </c>
      <c r="G11" s="68" t="s">
        <v>1264</v>
      </c>
      <c r="H11" s="68" t="s">
        <v>1094</v>
      </c>
      <c r="I11" s="68" t="s">
        <v>55</v>
      </c>
    </row>
    <row r="12" spans="1:9" ht="15.75" customHeight="1" x14ac:dyDescent="0.15">
      <c r="A12" s="68">
        <v>2</v>
      </c>
      <c r="B12" s="68">
        <v>3</v>
      </c>
      <c r="C12" s="68" t="s">
        <v>1261</v>
      </c>
      <c r="D12" s="68">
        <v>5</v>
      </c>
      <c r="E12" s="68" t="s">
        <v>1271</v>
      </c>
      <c r="F12" s="68" t="s">
        <v>1272</v>
      </c>
      <c r="G12" s="68" t="s">
        <v>1264</v>
      </c>
      <c r="H12" s="68" t="s">
        <v>1094</v>
      </c>
      <c r="I12" s="68" t="s">
        <v>55</v>
      </c>
    </row>
    <row r="13" spans="1:9" ht="15.75" customHeight="1" x14ac:dyDescent="0.15">
      <c r="A13" s="68">
        <v>2</v>
      </c>
      <c r="B13" s="68">
        <v>3</v>
      </c>
      <c r="C13" s="68" t="s">
        <v>1261</v>
      </c>
      <c r="D13" s="68">
        <v>6</v>
      </c>
      <c r="E13" s="68" t="s">
        <v>1273</v>
      </c>
      <c r="F13" s="68" t="s">
        <v>1274</v>
      </c>
      <c r="G13" s="68" t="s">
        <v>1264</v>
      </c>
      <c r="H13" s="68" t="s">
        <v>1094</v>
      </c>
      <c r="I13" s="68" t="s">
        <v>55</v>
      </c>
    </row>
    <row r="14" spans="1:9" ht="15.75" customHeight="1" x14ac:dyDescent="0.15">
      <c r="A14" s="68">
        <v>2</v>
      </c>
      <c r="B14" s="68">
        <v>3</v>
      </c>
      <c r="C14" s="68" t="s">
        <v>1275</v>
      </c>
      <c r="D14" s="68">
        <v>1</v>
      </c>
      <c r="E14" s="68" t="s">
        <v>1276</v>
      </c>
      <c r="F14" s="68" t="s">
        <v>1277</v>
      </c>
      <c r="G14" s="68" t="s">
        <v>1278</v>
      </c>
      <c r="H14" s="68" t="s">
        <v>10</v>
      </c>
      <c r="I14" s="68" t="s">
        <v>55</v>
      </c>
    </row>
    <row r="15" spans="1:9" ht="15.75" customHeight="1" x14ac:dyDescent="0.15">
      <c r="A15" s="68">
        <v>2</v>
      </c>
      <c r="B15" s="68">
        <v>3</v>
      </c>
      <c r="C15" s="68" t="s">
        <v>1275</v>
      </c>
      <c r="D15" s="68">
        <v>2</v>
      </c>
      <c r="E15" s="68" t="s">
        <v>1279</v>
      </c>
      <c r="F15" s="68" t="s">
        <v>1280</v>
      </c>
      <c r="G15" s="68" t="s">
        <v>1278</v>
      </c>
      <c r="H15" s="68" t="s">
        <v>1086</v>
      </c>
      <c r="I15" s="68" t="s">
        <v>55</v>
      </c>
    </row>
    <row r="16" spans="1:9" ht="15.75" customHeight="1" x14ac:dyDescent="0.15">
      <c r="A16" s="68">
        <v>2</v>
      </c>
      <c r="B16" s="68">
        <v>3</v>
      </c>
      <c r="C16" s="68" t="s">
        <v>1275</v>
      </c>
      <c r="D16" s="68">
        <v>3</v>
      </c>
      <c r="E16" s="68" t="s">
        <v>1281</v>
      </c>
      <c r="F16" s="68" t="s">
        <v>1282</v>
      </c>
      <c r="G16" s="68" t="s">
        <v>1278</v>
      </c>
      <c r="H16" s="68" t="s">
        <v>1086</v>
      </c>
      <c r="I16" s="68" t="s">
        <v>55</v>
      </c>
    </row>
    <row r="17" spans="1:9" ht="15.75" customHeight="1" x14ac:dyDescent="0.15">
      <c r="A17" s="68">
        <v>2</v>
      </c>
      <c r="B17" s="68">
        <v>3</v>
      </c>
      <c r="C17" s="68" t="s">
        <v>1275</v>
      </c>
      <c r="D17" s="68">
        <v>4</v>
      </c>
      <c r="E17" s="68" t="s">
        <v>1283</v>
      </c>
      <c r="F17" s="68" t="s">
        <v>1284</v>
      </c>
      <c r="G17" s="68" t="s">
        <v>1278</v>
      </c>
      <c r="H17" s="68" t="s">
        <v>1086</v>
      </c>
      <c r="I17" s="68" t="s">
        <v>55</v>
      </c>
    </row>
    <row r="18" spans="1:9" ht="15.75" customHeight="1" x14ac:dyDescent="0.15">
      <c r="A18" s="68">
        <v>2</v>
      </c>
      <c r="B18" s="68">
        <v>3</v>
      </c>
      <c r="C18" s="68" t="s">
        <v>1275</v>
      </c>
      <c r="D18" s="68">
        <v>5</v>
      </c>
      <c r="E18" s="68" t="s">
        <v>1285</v>
      </c>
      <c r="F18" s="68" t="s">
        <v>1286</v>
      </c>
      <c r="G18" s="68" t="s">
        <v>1278</v>
      </c>
      <c r="H18" s="68" t="s">
        <v>1094</v>
      </c>
      <c r="I18" s="68" t="s">
        <v>55</v>
      </c>
    </row>
    <row r="19" spans="1:9" ht="15.75" customHeight="1" x14ac:dyDescent="0.15">
      <c r="A19" s="68">
        <v>2</v>
      </c>
      <c r="B19" s="68">
        <v>3</v>
      </c>
      <c r="C19" s="68" t="s">
        <v>1275</v>
      </c>
      <c r="D19" s="68">
        <v>6</v>
      </c>
      <c r="E19" s="68" t="s">
        <v>1287</v>
      </c>
      <c r="F19" s="68" t="s">
        <v>1288</v>
      </c>
      <c r="G19" s="68" t="s">
        <v>1278</v>
      </c>
      <c r="H19" s="68" t="s">
        <v>1289</v>
      </c>
      <c r="I19" s="68" t="s">
        <v>55</v>
      </c>
    </row>
    <row r="20" spans="1:9" ht="15.75" customHeight="1" x14ac:dyDescent="0.15">
      <c r="A20" s="68">
        <v>2</v>
      </c>
      <c r="B20" s="68">
        <v>3</v>
      </c>
      <c r="C20" s="68" t="s">
        <v>1290</v>
      </c>
      <c r="D20" s="68">
        <v>1</v>
      </c>
      <c r="E20" s="68" t="s">
        <v>1291</v>
      </c>
      <c r="F20" s="68" t="s">
        <v>1292</v>
      </c>
      <c r="G20" s="68">
        <v>2.6</v>
      </c>
      <c r="H20" s="68" t="s">
        <v>13</v>
      </c>
      <c r="I20" s="68" t="s">
        <v>1087</v>
      </c>
    </row>
    <row r="21" spans="1:9" ht="15.75" customHeight="1" x14ac:dyDescent="0.15">
      <c r="A21" s="68">
        <v>2</v>
      </c>
      <c r="B21" s="68">
        <v>3</v>
      </c>
      <c r="C21" s="68" t="s">
        <v>1290</v>
      </c>
      <c r="D21" s="68">
        <v>2</v>
      </c>
      <c r="E21" s="68" t="s">
        <v>1293</v>
      </c>
      <c r="F21" s="68" t="s">
        <v>1294</v>
      </c>
      <c r="G21" s="68">
        <v>2.6</v>
      </c>
      <c r="H21" s="68" t="s">
        <v>13</v>
      </c>
      <c r="I21" s="68" t="s">
        <v>1087</v>
      </c>
    </row>
    <row r="22" spans="1:9" ht="15.75" customHeight="1" x14ac:dyDescent="0.15">
      <c r="A22" s="68">
        <v>2</v>
      </c>
      <c r="B22" s="68">
        <v>3</v>
      </c>
      <c r="C22" s="68" t="s">
        <v>1290</v>
      </c>
      <c r="D22" s="68">
        <v>3</v>
      </c>
      <c r="E22" s="68" t="s">
        <v>1295</v>
      </c>
      <c r="F22" s="68" t="s">
        <v>1296</v>
      </c>
      <c r="G22" s="68">
        <v>2.6</v>
      </c>
      <c r="H22" s="68" t="s">
        <v>1208</v>
      </c>
      <c r="I22" s="68" t="s">
        <v>1087</v>
      </c>
    </row>
    <row r="23" spans="1:9" ht="15.75" customHeight="1" x14ac:dyDescent="0.15">
      <c r="A23" s="68">
        <v>2</v>
      </c>
      <c r="B23" s="68">
        <v>3</v>
      </c>
      <c r="C23" s="68" t="s">
        <v>1290</v>
      </c>
      <c r="D23" s="68">
        <v>4</v>
      </c>
      <c r="E23" s="68" t="s">
        <v>1297</v>
      </c>
      <c r="F23" s="68" t="s">
        <v>1298</v>
      </c>
      <c r="G23" s="68">
        <v>2.6</v>
      </c>
      <c r="H23" s="68" t="s">
        <v>1299</v>
      </c>
      <c r="I23" s="68" t="s">
        <v>1087</v>
      </c>
    </row>
    <row r="24" spans="1:9" ht="15.75" customHeight="1" x14ac:dyDescent="0.15">
      <c r="A24" s="68">
        <v>2</v>
      </c>
      <c r="B24" s="68">
        <v>3</v>
      </c>
      <c r="C24" s="68" t="s">
        <v>1290</v>
      </c>
      <c r="D24" s="68">
        <v>5</v>
      </c>
      <c r="E24" s="68" t="s">
        <v>1300</v>
      </c>
      <c r="F24" s="68" t="s">
        <v>1301</v>
      </c>
      <c r="G24" s="68">
        <v>2.6</v>
      </c>
      <c r="H24" s="68" t="s">
        <v>1208</v>
      </c>
      <c r="I24" s="68" t="s">
        <v>1087</v>
      </c>
    </row>
    <row r="25" spans="1:9" ht="15.75" customHeight="1" x14ac:dyDescent="0.15">
      <c r="A25" s="68">
        <v>2</v>
      </c>
      <c r="B25" s="68">
        <v>3</v>
      </c>
      <c r="C25" s="68" t="s">
        <v>1290</v>
      </c>
      <c r="D25" s="68">
        <v>6</v>
      </c>
      <c r="E25" s="68" t="s">
        <v>1302</v>
      </c>
      <c r="F25" s="68" t="s">
        <v>1303</v>
      </c>
      <c r="G25" s="68">
        <v>2.6</v>
      </c>
      <c r="H25" s="68" t="s">
        <v>1304</v>
      </c>
      <c r="I25" s="68" t="s">
        <v>1087</v>
      </c>
    </row>
    <row r="26" spans="1:9" ht="15.75" customHeight="1" x14ac:dyDescent="0.15">
      <c r="A26" s="68">
        <v>2</v>
      </c>
      <c r="B26" s="68">
        <v>3</v>
      </c>
      <c r="C26" s="68" t="s">
        <v>1305</v>
      </c>
      <c r="D26" s="68">
        <v>1</v>
      </c>
      <c r="E26" s="68" t="s">
        <v>1306</v>
      </c>
      <c r="F26" s="68" t="s">
        <v>1307</v>
      </c>
      <c r="G26" s="68" t="s">
        <v>1308</v>
      </c>
      <c r="H26" s="68" t="s">
        <v>1309</v>
      </c>
      <c r="I26" s="68" t="s">
        <v>1087</v>
      </c>
    </row>
    <row r="27" spans="1:9" ht="15.75" customHeight="1" x14ac:dyDescent="0.15">
      <c r="A27" s="68">
        <v>2</v>
      </c>
      <c r="B27" s="68">
        <v>3</v>
      </c>
      <c r="C27" s="68" t="s">
        <v>1305</v>
      </c>
      <c r="D27" s="68">
        <v>2</v>
      </c>
      <c r="E27" s="68" t="s">
        <v>1310</v>
      </c>
      <c r="F27" s="68" t="s">
        <v>1311</v>
      </c>
      <c r="G27" s="68" t="s">
        <v>1308</v>
      </c>
      <c r="H27" s="68" t="s">
        <v>28</v>
      </c>
      <c r="I27" s="68" t="s">
        <v>1087</v>
      </c>
    </row>
    <row r="28" spans="1:9" ht="15.75" customHeight="1" x14ac:dyDescent="0.15">
      <c r="A28" s="68">
        <v>2</v>
      </c>
      <c r="B28" s="68">
        <v>3</v>
      </c>
      <c r="C28" s="68" t="s">
        <v>1305</v>
      </c>
      <c r="D28" s="68">
        <v>3</v>
      </c>
      <c r="E28" s="68" t="s">
        <v>1312</v>
      </c>
      <c r="F28" s="68" t="s">
        <v>1313</v>
      </c>
      <c r="G28" s="68" t="s">
        <v>1308</v>
      </c>
      <c r="H28" s="68" t="s">
        <v>28</v>
      </c>
      <c r="I28" s="68" t="s">
        <v>1087</v>
      </c>
    </row>
    <row r="29" spans="1:9" ht="15.75" customHeight="1" x14ac:dyDescent="0.15">
      <c r="A29" s="68">
        <v>2</v>
      </c>
      <c r="B29" s="68">
        <v>3</v>
      </c>
      <c r="C29" s="68" t="s">
        <v>1305</v>
      </c>
      <c r="D29" s="68">
        <v>4</v>
      </c>
      <c r="E29" s="68" t="s">
        <v>1314</v>
      </c>
      <c r="F29" s="68" t="s">
        <v>1315</v>
      </c>
      <c r="G29" s="68" t="s">
        <v>1308</v>
      </c>
      <c r="H29" s="68" t="s">
        <v>28</v>
      </c>
      <c r="I29" s="68" t="s">
        <v>1087</v>
      </c>
    </row>
    <row r="30" spans="1:9" ht="15.75" customHeight="1" x14ac:dyDescent="0.15">
      <c r="A30" s="68">
        <v>2</v>
      </c>
      <c r="B30" s="68">
        <v>3</v>
      </c>
      <c r="C30" s="68" t="s">
        <v>1305</v>
      </c>
      <c r="D30" s="68">
        <v>5</v>
      </c>
      <c r="E30" s="68" t="s">
        <v>1316</v>
      </c>
      <c r="F30" s="68" t="s">
        <v>1317</v>
      </c>
      <c r="G30" s="68" t="s">
        <v>1308</v>
      </c>
      <c r="H30" s="68" t="s">
        <v>1154</v>
      </c>
      <c r="I30" s="68" t="s">
        <v>1087</v>
      </c>
    </row>
    <row r="31" spans="1:9" ht="15.75" customHeight="1" x14ac:dyDescent="0.15">
      <c r="A31" s="68">
        <v>2</v>
      </c>
      <c r="B31" s="68">
        <v>3</v>
      </c>
      <c r="C31" s="68" t="s">
        <v>1305</v>
      </c>
      <c r="D31" s="68">
        <v>6</v>
      </c>
      <c r="E31" s="68" t="s">
        <v>1318</v>
      </c>
      <c r="F31" s="68" t="s">
        <v>1319</v>
      </c>
      <c r="G31" s="68" t="s">
        <v>1308</v>
      </c>
      <c r="H31" s="68" t="s">
        <v>1320</v>
      </c>
      <c r="I31" s="68" t="s">
        <v>1087</v>
      </c>
    </row>
    <row r="32" spans="1:9" ht="15.75" customHeight="1" x14ac:dyDescent="0.15">
      <c r="A32" s="68">
        <v>2</v>
      </c>
      <c r="B32" s="68">
        <v>3</v>
      </c>
      <c r="C32" s="68" t="s">
        <v>1321</v>
      </c>
      <c r="D32" s="68">
        <v>1</v>
      </c>
      <c r="E32" s="68" t="s">
        <v>1322</v>
      </c>
      <c r="F32" s="68" t="s">
        <v>1323</v>
      </c>
      <c r="G32" s="68" t="s">
        <v>1308</v>
      </c>
      <c r="H32" s="68" t="s">
        <v>1309</v>
      </c>
      <c r="I32" s="68" t="s">
        <v>1087</v>
      </c>
    </row>
    <row r="33" spans="1:9" ht="15.75" customHeight="1" x14ac:dyDescent="0.15">
      <c r="A33" s="68">
        <v>2</v>
      </c>
      <c r="B33" s="68">
        <v>3</v>
      </c>
      <c r="C33" s="68" t="s">
        <v>1321</v>
      </c>
      <c r="D33" s="68">
        <v>2</v>
      </c>
      <c r="E33" s="68" t="s">
        <v>1324</v>
      </c>
      <c r="F33" s="68" t="s">
        <v>1325</v>
      </c>
      <c r="G33" s="68" t="s">
        <v>1308</v>
      </c>
      <c r="H33" s="68" t="s">
        <v>1309</v>
      </c>
      <c r="I33" s="68" t="s">
        <v>1087</v>
      </c>
    </row>
    <row r="34" spans="1:9" ht="15.75" customHeight="1" x14ac:dyDescent="0.15">
      <c r="A34" s="68">
        <v>2</v>
      </c>
      <c r="B34" s="68">
        <v>3</v>
      </c>
      <c r="C34" s="68" t="s">
        <v>1321</v>
      </c>
      <c r="D34" s="68">
        <v>3</v>
      </c>
      <c r="E34" s="68" t="s">
        <v>1326</v>
      </c>
      <c r="F34" s="68" t="s">
        <v>1327</v>
      </c>
      <c r="G34" s="68" t="s">
        <v>1308</v>
      </c>
      <c r="H34" s="68" t="s">
        <v>28</v>
      </c>
      <c r="I34" s="68" t="s">
        <v>1087</v>
      </c>
    </row>
    <row r="35" spans="1:9" ht="15.75" customHeight="1" x14ac:dyDescent="0.15">
      <c r="A35" s="68">
        <v>2</v>
      </c>
      <c r="B35" s="68">
        <v>3</v>
      </c>
      <c r="C35" s="68" t="s">
        <v>1321</v>
      </c>
      <c r="D35" s="68">
        <v>4</v>
      </c>
      <c r="E35" s="68" t="s">
        <v>1328</v>
      </c>
      <c r="F35" s="68" t="s">
        <v>1329</v>
      </c>
      <c r="G35" s="68" t="s">
        <v>1308</v>
      </c>
      <c r="H35" s="68" t="s">
        <v>28</v>
      </c>
      <c r="I35" s="68" t="s">
        <v>1087</v>
      </c>
    </row>
    <row r="36" spans="1:9" ht="15.75" customHeight="1" x14ac:dyDescent="0.15">
      <c r="A36" s="68">
        <v>2</v>
      </c>
      <c r="B36" s="68">
        <v>3</v>
      </c>
      <c r="C36" s="68" t="s">
        <v>1321</v>
      </c>
      <c r="D36" s="68">
        <v>5</v>
      </c>
      <c r="E36" s="68" t="s">
        <v>1330</v>
      </c>
      <c r="F36" s="68" t="s">
        <v>1331</v>
      </c>
      <c r="G36" s="68" t="s">
        <v>1308</v>
      </c>
      <c r="H36" s="68" t="s">
        <v>1154</v>
      </c>
      <c r="I36" s="68" t="s">
        <v>1087</v>
      </c>
    </row>
    <row r="37" spans="1:9" ht="15.75" customHeight="1" x14ac:dyDescent="0.15">
      <c r="A37" s="68">
        <v>2</v>
      </c>
      <c r="B37" s="68">
        <v>3</v>
      </c>
      <c r="C37" s="68" t="s">
        <v>1321</v>
      </c>
      <c r="D37" s="68">
        <v>6</v>
      </c>
      <c r="E37" s="68" t="s">
        <v>1332</v>
      </c>
      <c r="F37" s="68" t="s">
        <v>1333</v>
      </c>
      <c r="G37" s="68" t="s">
        <v>1308</v>
      </c>
      <c r="H37" s="68" t="s">
        <v>1154</v>
      </c>
      <c r="I37" s="68" t="s">
        <v>1087</v>
      </c>
    </row>
    <row r="38" spans="1:9" ht="15.75" customHeight="1" x14ac:dyDescent="0.15">
      <c r="A38" s="68">
        <v>2</v>
      </c>
      <c r="B38" s="68">
        <v>4</v>
      </c>
      <c r="C38" s="68" t="s">
        <v>1334</v>
      </c>
      <c r="D38" s="68">
        <v>1</v>
      </c>
      <c r="E38" s="68" t="s">
        <v>1335</v>
      </c>
      <c r="F38" s="68" t="s">
        <v>1336</v>
      </c>
      <c r="G38" s="68" t="s">
        <v>1337</v>
      </c>
      <c r="H38" s="68" t="s">
        <v>1338</v>
      </c>
      <c r="I38" s="68" t="s">
        <v>1339</v>
      </c>
    </row>
    <row r="39" spans="1:9" ht="15.75" customHeight="1" x14ac:dyDescent="0.15">
      <c r="A39" s="68">
        <v>2</v>
      </c>
      <c r="B39" s="68">
        <v>4</v>
      </c>
      <c r="C39" s="68" t="s">
        <v>1334</v>
      </c>
      <c r="D39" s="68">
        <v>2</v>
      </c>
      <c r="E39" s="68" t="s">
        <v>1340</v>
      </c>
      <c r="F39" s="68" t="s">
        <v>1341</v>
      </c>
      <c r="G39" s="68" t="s">
        <v>1337</v>
      </c>
      <c r="H39" s="68" t="s">
        <v>7</v>
      </c>
      <c r="I39" s="68" t="s">
        <v>1339</v>
      </c>
    </row>
    <row r="40" spans="1:9" ht="15.75" customHeight="1" x14ac:dyDescent="0.15">
      <c r="A40" s="68">
        <v>2</v>
      </c>
      <c r="B40" s="68">
        <v>4</v>
      </c>
      <c r="C40" s="68" t="s">
        <v>1334</v>
      </c>
      <c r="D40" s="68">
        <v>3</v>
      </c>
      <c r="E40" s="68" t="s">
        <v>1342</v>
      </c>
      <c r="F40" s="68" t="s">
        <v>1343</v>
      </c>
      <c r="G40" s="68" t="s">
        <v>1337</v>
      </c>
      <c r="H40" s="68" t="s">
        <v>7</v>
      </c>
      <c r="I40" s="68" t="s">
        <v>1339</v>
      </c>
    </row>
    <row r="41" spans="1:9" ht="15.75" customHeight="1" x14ac:dyDescent="0.15">
      <c r="A41" s="68">
        <v>2</v>
      </c>
      <c r="B41" s="68">
        <v>4</v>
      </c>
      <c r="C41" s="68" t="s">
        <v>1334</v>
      </c>
      <c r="D41" s="68">
        <v>4</v>
      </c>
      <c r="E41" s="68" t="s">
        <v>1344</v>
      </c>
      <c r="F41" s="68" t="s">
        <v>1345</v>
      </c>
      <c r="G41" s="68" t="s">
        <v>1337</v>
      </c>
      <c r="H41" s="68" t="s">
        <v>1346</v>
      </c>
      <c r="I41" s="68" t="s">
        <v>1339</v>
      </c>
    </row>
    <row r="42" spans="1:9" ht="15.75" customHeight="1" x14ac:dyDescent="0.15">
      <c r="A42" s="68">
        <v>2</v>
      </c>
      <c r="B42" s="68">
        <v>4</v>
      </c>
      <c r="C42" s="68" t="s">
        <v>1334</v>
      </c>
      <c r="D42" s="68">
        <v>5</v>
      </c>
      <c r="E42" s="68" t="s">
        <v>1347</v>
      </c>
      <c r="F42" s="68" t="s">
        <v>1348</v>
      </c>
      <c r="G42" s="68" t="s">
        <v>1337</v>
      </c>
      <c r="H42" s="68" t="s">
        <v>7</v>
      </c>
      <c r="I42" s="68" t="s">
        <v>1339</v>
      </c>
    </row>
    <row r="43" spans="1:9" ht="15.75" customHeight="1" x14ac:dyDescent="0.15">
      <c r="A43" s="68">
        <v>2</v>
      </c>
      <c r="B43" s="68">
        <v>4</v>
      </c>
      <c r="C43" s="68" t="s">
        <v>1334</v>
      </c>
      <c r="D43" s="68">
        <v>6</v>
      </c>
      <c r="E43" s="68" t="s">
        <v>1349</v>
      </c>
      <c r="F43" s="68" t="s">
        <v>1350</v>
      </c>
      <c r="G43" s="68" t="s">
        <v>1337</v>
      </c>
      <c r="H43" s="68" t="s">
        <v>1351</v>
      </c>
      <c r="I43" s="68" t="s">
        <v>1339</v>
      </c>
    </row>
    <row r="44" spans="1:9" ht="15.75" customHeight="1" x14ac:dyDescent="0.15">
      <c r="A44" s="68">
        <v>2</v>
      </c>
      <c r="B44" s="68">
        <v>4</v>
      </c>
      <c r="C44" s="68" t="s">
        <v>1352</v>
      </c>
      <c r="D44" s="68">
        <v>1</v>
      </c>
      <c r="E44" s="68" t="s">
        <v>1353</v>
      </c>
      <c r="F44" s="68" t="s">
        <v>1354</v>
      </c>
      <c r="G44" s="68" t="s">
        <v>1355</v>
      </c>
      <c r="H44" s="68" t="s">
        <v>1356</v>
      </c>
      <c r="I44" s="68" t="s">
        <v>51</v>
      </c>
    </row>
    <row r="45" spans="1:9" ht="15.75" customHeight="1" x14ac:dyDescent="0.15">
      <c r="A45" s="68">
        <v>2</v>
      </c>
      <c r="B45" s="68">
        <v>4</v>
      </c>
      <c r="C45" s="68" t="s">
        <v>1352</v>
      </c>
      <c r="D45" s="68">
        <v>2</v>
      </c>
      <c r="E45" s="68" t="s">
        <v>1357</v>
      </c>
      <c r="F45" s="68" t="s">
        <v>1358</v>
      </c>
      <c r="G45" s="68" t="s">
        <v>1355</v>
      </c>
      <c r="H45" s="68" t="s">
        <v>1359</v>
      </c>
      <c r="I45" s="68" t="s">
        <v>51</v>
      </c>
    </row>
    <row r="46" spans="1:9" ht="15.75" customHeight="1" x14ac:dyDescent="0.15">
      <c r="A46" s="68">
        <v>2</v>
      </c>
      <c r="B46" s="68">
        <v>4</v>
      </c>
      <c r="C46" s="68" t="s">
        <v>1352</v>
      </c>
      <c r="D46" s="68">
        <v>3</v>
      </c>
      <c r="E46" s="68" t="s">
        <v>1360</v>
      </c>
      <c r="F46" s="68" t="s">
        <v>1361</v>
      </c>
      <c r="G46" s="68" t="s">
        <v>1355</v>
      </c>
      <c r="H46" s="68" t="s">
        <v>1362</v>
      </c>
      <c r="I46" s="68" t="s">
        <v>51</v>
      </c>
    </row>
    <row r="47" spans="1:9" ht="15.75" customHeight="1" x14ac:dyDescent="0.15">
      <c r="A47" s="68">
        <v>2</v>
      </c>
      <c r="B47" s="68">
        <v>4</v>
      </c>
      <c r="C47" s="68" t="s">
        <v>1352</v>
      </c>
      <c r="D47" s="68">
        <v>4</v>
      </c>
      <c r="E47" s="68" t="s">
        <v>1363</v>
      </c>
      <c r="F47" s="68" t="s">
        <v>1364</v>
      </c>
      <c r="G47" s="68" t="s">
        <v>1355</v>
      </c>
      <c r="H47" s="68" t="s">
        <v>1086</v>
      </c>
      <c r="I47" s="68" t="s">
        <v>51</v>
      </c>
    </row>
    <row r="48" spans="1:9" ht="15.75" customHeight="1" x14ac:dyDescent="0.15">
      <c r="A48" s="68">
        <v>2</v>
      </c>
      <c r="B48" s="68">
        <v>4</v>
      </c>
      <c r="C48" s="68" t="s">
        <v>1352</v>
      </c>
      <c r="D48" s="68">
        <v>5</v>
      </c>
      <c r="E48" s="68" t="s">
        <v>1365</v>
      </c>
      <c r="F48" s="68" t="s">
        <v>1366</v>
      </c>
      <c r="G48" s="68" t="s">
        <v>1355</v>
      </c>
      <c r="H48" s="68" t="s">
        <v>1086</v>
      </c>
      <c r="I48" s="68" t="s">
        <v>51</v>
      </c>
    </row>
    <row r="49" spans="1:9" ht="15.75" customHeight="1" x14ac:dyDescent="0.15">
      <c r="A49" s="68">
        <v>2</v>
      </c>
      <c r="B49" s="68">
        <v>4</v>
      </c>
      <c r="C49" s="68" t="s">
        <v>1352</v>
      </c>
      <c r="D49" s="68">
        <v>6</v>
      </c>
      <c r="E49" s="68" t="s">
        <v>1367</v>
      </c>
      <c r="F49" s="68" t="s">
        <v>1368</v>
      </c>
      <c r="G49" s="68" t="s">
        <v>1355</v>
      </c>
      <c r="H49" s="68" t="s">
        <v>1183</v>
      </c>
      <c r="I49" s="68" t="s">
        <v>51</v>
      </c>
    </row>
    <row r="50" spans="1:9" ht="15.75" customHeight="1" x14ac:dyDescent="0.15">
      <c r="A50" s="68">
        <v>2</v>
      </c>
      <c r="B50" s="68">
        <v>4</v>
      </c>
      <c r="C50" s="68" t="s">
        <v>1369</v>
      </c>
      <c r="D50" s="68">
        <v>1</v>
      </c>
      <c r="E50" s="68" t="s">
        <v>1370</v>
      </c>
      <c r="F50" s="68" t="s">
        <v>1371</v>
      </c>
      <c r="G50" s="68" t="s">
        <v>1355</v>
      </c>
      <c r="H50" s="68" t="s">
        <v>1086</v>
      </c>
      <c r="I50" s="68" t="s">
        <v>56</v>
      </c>
    </row>
    <row r="51" spans="1:9" ht="13" x14ac:dyDescent="0.15">
      <c r="A51" s="68">
        <v>2</v>
      </c>
      <c r="B51" s="68">
        <v>4</v>
      </c>
      <c r="C51" s="68" t="s">
        <v>1369</v>
      </c>
      <c r="D51" s="68">
        <v>2</v>
      </c>
      <c r="E51" s="68" t="s">
        <v>1372</v>
      </c>
      <c r="F51" s="68" t="s">
        <v>1373</v>
      </c>
      <c r="G51" s="68" t="s">
        <v>1355</v>
      </c>
      <c r="H51" s="68" t="s">
        <v>1374</v>
      </c>
      <c r="I51" s="68" t="s">
        <v>56</v>
      </c>
    </row>
    <row r="52" spans="1:9" ht="13" x14ac:dyDescent="0.15">
      <c r="A52" s="68">
        <v>2</v>
      </c>
      <c r="B52" s="68">
        <v>4</v>
      </c>
      <c r="C52" s="68" t="s">
        <v>1369</v>
      </c>
      <c r="D52" s="68">
        <v>3</v>
      </c>
      <c r="E52" s="68" t="s">
        <v>1375</v>
      </c>
      <c r="F52" s="68" t="s">
        <v>1376</v>
      </c>
      <c r="G52" s="68" t="s">
        <v>1355</v>
      </c>
      <c r="H52" s="68" t="s">
        <v>1094</v>
      </c>
      <c r="I52" s="68" t="s">
        <v>56</v>
      </c>
    </row>
    <row r="53" spans="1:9" ht="13" x14ac:dyDescent="0.15">
      <c r="A53" s="68">
        <v>2</v>
      </c>
      <c r="B53" s="68">
        <v>4</v>
      </c>
      <c r="C53" s="68" t="s">
        <v>1369</v>
      </c>
      <c r="D53" s="68">
        <v>4</v>
      </c>
      <c r="E53" s="68" t="s">
        <v>1377</v>
      </c>
      <c r="F53" s="68" t="s">
        <v>1378</v>
      </c>
      <c r="G53" s="68" t="s">
        <v>1355</v>
      </c>
      <c r="H53" s="68" t="s">
        <v>1086</v>
      </c>
      <c r="I53" s="68" t="s">
        <v>56</v>
      </c>
    </row>
    <row r="54" spans="1:9" ht="13" x14ac:dyDescent="0.15">
      <c r="A54" s="68">
        <v>2</v>
      </c>
      <c r="B54" s="68">
        <v>4</v>
      </c>
      <c r="C54" s="68" t="s">
        <v>1369</v>
      </c>
      <c r="D54" s="68">
        <v>5</v>
      </c>
      <c r="E54" s="68" t="s">
        <v>1379</v>
      </c>
      <c r="F54" s="68" t="s">
        <v>1380</v>
      </c>
      <c r="G54" s="68" t="s">
        <v>1355</v>
      </c>
      <c r="H54" s="68" t="s">
        <v>1381</v>
      </c>
      <c r="I54" s="68" t="s">
        <v>56</v>
      </c>
    </row>
    <row r="55" spans="1:9" ht="13" x14ac:dyDescent="0.15">
      <c r="A55" s="68">
        <v>2</v>
      </c>
      <c r="B55" s="68">
        <v>4</v>
      </c>
      <c r="C55" s="68" t="s">
        <v>1369</v>
      </c>
      <c r="D55" s="68">
        <v>6</v>
      </c>
      <c r="E55" s="68" t="s">
        <v>1382</v>
      </c>
      <c r="F55" s="68" t="s">
        <v>1383</v>
      </c>
      <c r="G55" s="68" t="s">
        <v>1355</v>
      </c>
      <c r="H55" s="68" t="s">
        <v>1094</v>
      </c>
      <c r="I55" s="68" t="s">
        <v>56</v>
      </c>
    </row>
    <row r="56" spans="1:9" ht="13" x14ac:dyDescent="0.15">
      <c r="A56" s="68">
        <v>2</v>
      </c>
      <c r="B56" s="68">
        <v>4</v>
      </c>
      <c r="C56" s="68" t="s">
        <v>1384</v>
      </c>
      <c r="D56" s="68">
        <v>1</v>
      </c>
      <c r="E56" s="68" t="s">
        <v>1385</v>
      </c>
      <c r="F56" s="68" t="s">
        <v>1386</v>
      </c>
      <c r="G56" s="68" t="s">
        <v>1387</v>
      </c>
      <c r="H56" s="68" t="s">
        <v>13</v>
      </c>
      <c r="I56" s="68" t="s">
        <v>1087</v>
      </c>
    </row>
    <row r="57" spans="1:9" ht="13" x14ac:dyDescent="0.15">
      <c r="A57" s="68">
        <v>2</v>
      </c>
      <c r="B57" s="68">
        <v>4</v>
      </c>
      <c r="C57" s="68" t="s">
        <v>1384</v>
      </c>
      <c r="D57" s="68">
        <v>2</v>
      </c>
      <c r="E57" s="68" t="s">
        <v>1388</v>
      </c>
      <c r="F57" s="68" t="s">
        <v>1389</v>
      </c>
      <c r="G57" s="68" t="s">
        <v>1387</v>
      </c>
      <c r="H57" s="68" t="s">
        <v>1390</v>
      </c>
      <c r="I57" s="68" t="s">
        <v>1087</v>
      </c>
    </row>
    <row r="58" spans="1:9" ht="13" x14ac:dyDescent="0.15">
      <c r="A58" s="68">
        <v>2</v>
      </c>
      <c r="B58" s="68">
        <v>4</v>
      </c>
      <c r="C58" s="68" t="s">
        <v>1384</v>
      </c>
      <c r="D58" s="68">
        <v>3</v>
      </c>
      <c r="E58" s="68" t="s">
        <v>1391</v>
      </c>
      <c r="F58" s="68" t="s">
        <v>1392</v>
      </c>
      <c r="G58" s="68" t="s">
        <v>1387</v>
      </c>
      <c r="H58" s="68" t="s">
        <v>1390</v>
      </c>
      <c r="I58" s="68" t="s">
        <v>1087</v>
      </c>
    </row>
    <row r="59" spans="1:9" ht="13" x14ac:dyDescent="0.15">
      <c r="A59" s="68">
        <v>2</v>
      </c>
      <c r="B59" s="68">
        <v>4</v>
      </c>
      <c r="C59" s="68" t="s">
        <v>1384</v>
      </c>
      <c r="D59" s="68">
        <v>4</v>
      </c>
      <c r="E59" s="68" t="s">
        <v>1393</v>
      </c>
      <c r="F59" s="68" t="s">
        <v>1394</v>
      </c>
      <c r="G59" s="68" t="s">
        <v>1387</v>
      </c>
      <c r="H59" s="68" t="s">
        <v>1208</v>
      </c>
      <c r="I59" s="68" t="s">
        <v>1087</v>
      </c>
    </row>
    <row r="60" spans="1:9" ht="13" x14ac:dyDescent="0.15">
      <c r="A60" s="68">
        <v>2</v>
      </c>
      <c r="B60" s="68">
        <v>4</v>
      </c>
      <c r="C60" s="68" t="s">
        <v>1384</v>
      </c>
      <c r="D60" s="68">
        <v>5</v>
      </c>
      <c r="E60" s="68" t="s">
        <v>1395</v>
      </c>
      <c r="F60" s="68" t="s">
        <v>1396</v>
      </c>
      <c r="G60" s="68" t="s">
        <v>1387</v>
      </c>
      <c r="H60" s="68" t="s">
        <v>1390</v>
      </c>
      <c r="I60" s="68" t="s">
        <v>1087</v>
      </c>
    </row>
    <row r="61" spans="1:9" ht="13" x14ac:dyDescent="0.15">
      <c r="A61" s="68">
        <v>2</v>
      </c>
      <c r="B61" s="68">
        <v>4</v>
      </c>
      <c r="C61" s="68" t="s">
        <v>1384</v>
      </c>
      <c r="D61" s="68">
        <v>6</v>
      </c>
      <c r="E61" s="68" t="s">
        <v>1397</v>
      </c>
      <c r="F61" s="68" t="s">
        <v>1398</v>
      </c>
      <c r="G61" s="68" t="s">
        <v>1387</v>
      </c>
      <c r="H61" s="68" t="s">
        <v>1356</v>
      </c>
      <c r="I61" s="68" t="s">
        <v>1087</v>
      </c>
    </row>
    <row r="62" spans="1:9" ht="13" x14ac:dyDescent="0.15">
      <c r="A62" s="68">
        <v>2</v>
      </c>
      <c r="B62" s="68">
        <v>4</v>
      </c>
      <c r="C62" s="68" t="s">
        <v>1399</v>
      </c>
      <c r="D62" s="68">
        <v>1</v>
      </c>
      <c r="E62" s="68" t="s">
        <v>1400</v>
      </c>
      <c r="F62" s="68" t="s">
        <v>1401</v>
      </c>
      <c r="G62" s="68" t="s">
        <v>1308</v>
      </c>
      <c r="H62" s="68" t="s">
        <v>1225</v>
      </c>
      <c r="I62" s="68" t="s">
        <v>1087</v>
      </c>
    </row>
    <row r="63" spans="1:9" ht="13" x14ac:dyDescent="0.15">
      <c r="A63" s="68">
        <v>2</v>
      </c>
      <c r="B63" s="68">
        <v>4</v>
      </c>
      <c r="C63" s="68" t="s">
        <v>1399</v>
      </c>
      <c r="D63" s="68">
        <v>2</v>
      </c>
      <c r="E63" s="68" t="s">
        <v>1402</v>
      </c>
      <c r="F63" s="68" t="s">
        <v>1403</v>
      </c>
      <c r="G63" s="68" t="s">
        <v>1308</v>
      </c>
      <c r="H63" s="68" t="s">
        <v>1309</v>
      </c>
      <c r="I63" s="68" t="s">
        <v>1087</v>
      </c>
    </row>
    <row r="64" spans="1:9" ht="13" x14ac:dyDescent="0.15">
      <c r="A64" s="68">
        <v>2</v>
      </c>
      <c r="B64" s="68">
        <v>4</v>
      </c>
      <c r="C64" s="68" t="s">
        <v>1399</v>
      </c>
      <c r="D64" s="68">
        <v>3</v>
      </c>
      <c r="E64" s="68" t="s">
        <v>1404</v>
      </c>
      <c r="F64" s="68" t="s">
        <v>1405</v>
      </c>
      <c r="G64" s="68" t="s">
        <v>1308</v>
      </c>
      <c r="H64" s="68" t="s">
        <v>1225</v>
      </c>
      <c r="I64" s="68" t="s">
        <v>1087</v>
      </c>
    </row>
    <row r="65" spans="1:9" ht="13" x14ac:dyDescent="0.15">
      <c r="A65" s="68">
        <v>2</v>
      </c>
      <c r="B65" s="68">
        <v>4</v>
      </c>
      <c r="C65" s="68" t="s">
        <v>1399</v>
      </c>
      <c r="D65" s="68">
        <v>4</v>
      </c>
      <c r="E65" s="68" t="s">
        <v>1406</v>
      </c>
      <c r="F65" s="68" t="s">
        <v>1407</v>
      </c>
      <c r="G65" s="68" t="s">
        <v>1308</v>
      </c>
      <c r="H65" s="68" t="s">
        <v>28</v>
      </c>
      <c r="I65" s="68" t="s">
        <v>1087</v>
      </c>
    </row>
    <row r="66" spans="1:9" ht="13" x14ac:dyDescent="0.15">
      <c r="A66" s="68">
        <v>2</v>
      </c>
      <c r="B66" s="68">
        <v>4</v>
      </c>
      <c r="C66" s="68" t="s">
        <v>1399</v>
      </c>
      <c r="D66" s="68">
        <v>5</v>
      </c>
      <c r="E66" s="68" t="s">
        <v>1408</v>
      </c>
      <c r="F66" s="68" t="s">
        <v>1409</v>
      </c>
      <c r="G66" s="68" t="s">
        <v>1308</v>
      </c>
      <c r="H66" s="68" t="s">
        <v>1225</v>
      </c>
      <c r="I66" s="68" t="s">
        <v>1087</v>
      </c>
    </row>
    <row r="67" spans="1:9" ht="13" x14ac:dyDescent="0.15">
      <c r="A67" s="68">
        <v>2</v>
      </c>
      <c r="B67" s="68">
        <v>4</v>
      </c>
      <c r="C67" s="68" t="s">
        <v>1399</v>
      </c>
      <c r="D67" s="68">
        <v>6</v>
      </c>
      <c r="E67" s="68" t="s">
        <v>1410</v>
      </c>
      <c r="F67" s="68" t="s">
        <v>1411</v>
      </c>
      <c r="G67" s="68" t="s">
        <v>1308</v>
      </c>
      <c r="H67" s="68" t="s">
        <v>28</v>
      </c>
      <c r="I67" s="68" t="s">
        <v>1087</v>
      </c>
    </row>
    <row r="68" spans="1:9" ht="13" x14ac:dyDescent="0.15">
      <c r="A68" s="68">
        <v>2</v>
      </c>
      <c r="B68" s="68">
        <v>4</v>
      </c>
      <c r="C68" s="68" t="s">
        <v>1412</v>
      </c>
      <c r="D68" s="68">
        <v>1</v>
      </c>
      <c r="E68" s="68" t="s">
        <v>1413</v>
      </c>
      <c r="F68" s="68" t="s">
        <v>1414</v>
      </c>
      <c r="G68" s="68" t="s">
        <v>1415</v>
      </c>
      <c r="H68" s="68" t="s">
        <v>1154</v>
      </c>
      <c r="I68" s="68" t="s">
        <v>1087</v>
      </c>
    </row>
    <row r="69" spans="1:9" ht="13" x14ac:dyDescent="0.15">
      <c r="A69" s="68">
        <v>2</v>
      </c>
      <c r="B69" s="68">
        <v>4</v>
      </c>
      <c r="C69" s="68" t="s">
        <v>1412</v>
      </c>
      <c r="D69" s="68">
        <v>2</v>
      </c>
      <c r="E69" s="68" t="s">
        <v>1416</v>
      </c>
      <c r="F69" s="68" t="s">
        <v>1417</v>
      </c>
      <c r="G69" s="68" t="s">
        <v>1415</v>
      </c>
      <c r="H69" s="68" t="s">
        <v>1225</v>
      </c>
      <c r="I69" s="68" t="s">
        <v>1087</v>
      </c>
    </row>
    <row r="70" spans="1:9" ht="13" x14ac:dyDescent="0.15">
      <c r="A70" s="68">
        <v>2</v>
      </c>
      <c r="B70" s="68">
        <v>4</v>
      </c>
      <c r="C70" s="68" t="s">
        <v>1412</v>
      </c>
      <c r="D70" s="68">
        <v>3</v>
      </c>
      <c r="E70" s="68" t="s">
        <v>1418</v>
      </c>
      <c r="F70" s="68" t="s">
        <v>1419</v>
      </c>
      <c r="G70" s="68" t="s">
        <v>1415</v>
      </c>
      <c r="H70" s="68" t="s">
        <v>1154</v>
      </c>
      <c r="I70" s="68" t="s">
        <v>1087</v>
      </c>
    </row>
    <row r="71" spans="1:9" ht="13" x14ac:dyDescent="0.15">
      <c r="A71" s="68">
        <v>2</v>
      </c>
      <c r="B71" s="68">
        <v>4</v>
      </c>
      <c r="C71" s="68" t="s">
        <v>1412</v>
      </c>
      <c r="D71" s="68">
        <v>4</v>
      </c>
      <c r="E71" s="68" t="s">
        <v>1420</v>
      </c>
      <c r="F71" s="68" t="s">
        <v>1421</v>
      </c>
      <c r="G71" s="68" t="s">
        <v>1415</v>
      </c>
      <c r="H71" s="68" t="s">
        <v>28</v>
      </c>
      <c r="I71" s="68" t="s">
        <v>1087</v>
      </c>
    </row>
    <row r="72" spans="1:9" ht="13" x14ac:dyDescent="0.15">
      <c r="A72" s="68">
        <v>2</v>
      </c>
      <c r="B72" s="68">
        <v>4</v>
      </c>
      <c r="C72" s="68" t="s">
        <v>1412</v>
      </c>
      <c r="D72" s="68">
        <v>5</v>
      </c>
      <c r="E72" s="68" t="s">
        <v>1422</v>
      </c>
      <c r="F72" s="68" t="s">
        <v>1423</v>
      </c>
      <c r="G72" s="68" t="s">
        <v>1415</v>
      </c>
      <c r="H72" s="68" t="s">
        <v>1154</v>
      </c>
      <c r="I72" s="68" t="s">
        <v>1087</v>
      </c>
    </row>
    <row r="73" spans="1:9" ht="13" x14ac:dyDescent="0.15">
      <c r="A73" s="68">
        <v>2</v>
      </c>
      <c r="B73" s="68">
        <v>4</v>
      </c>
      <c r="C73" s="68" t="s">
        <v>1412</v>
      </c>
      <c r="D73" s="68">
        <v>6</v>
      </c>
      <c r="E73" s="68" t="s">
        <v>1424</v>
      </c>
      <c r="F73" s="68" t="s">
        <v>1425</v>
      </c>
      <c r="G73" s="68" t="s">
        <v>1415</v>
      </c>
      <c r="H73" s="68" t="s">
        <v>1154</v>
      </c>
      <c r="I73" s="68" t="s">
        <v>1087</v>
      </c>
    </row>
    <row r="74" spans="1:9" ht="13" x14ac:dyDescent="0.15">
      <c r="A74" s="68">
        <v>2</v>
      </c>
      <c r="B74" s="68">
        <v>5</v>
      </c>
      <c r="C74" s="68" t="s">
        <v>1426</v>
      </c>
      <c r="D74" s="68">
        <v>1</v>
      </c>
      <c r="E74" s="68" t="s">
        <v>1427</v>
      </c>
      <c r="F74" s="68" t="s">
        <v>1428</v>
      </c>
      <c r="G74" s="68" t="s">
        <v>1429</v>
      </c>
      <c r="H74" s="68" t="s">
        <v>19</v>
      </c>
      <c r="I74" s="68" t="s">
        <v>51</v>
      </c>
    </row>
    <row r="75" spans="1:9" ht="13" x14ac:dyDescent="0.15">
      <c r="A75" s="68">
        <v>2</v>
      </c>
      <c r="B75" s="68">
        <v>5</v>
      </c>
      <c r="C75" s="68" t="s">
        <v>1426</v>
      </c>
      <c r="D75" s="68">
        <v>2</v>
      </c>
      <c r="E75" s="68" t="s">
        <v>1430</v>
      </c>
      <c r="F75" s="68" t="s">
        <v>1431</v>
      </c>
      <c r="G75" s="68" t="s">
        <v>1429</v>
      </c>
      <c r="H75" s="68" t="s">
        <v>1070</v>
      </c>
      <c r="I75" s="68" t="s">
        <v>51</v>
      </c>
    </row>
    <row r="76" spans="1:9" ht="13" x14ac:dyDescent="0.15">
      <c r="A76" s="68">
        <v>2</v>
      </c>
      <c r="B76" s="68">
        <v>5</v>
      </c>
      <c r="C76" s="68" t="s">
        <v>1426</v>
      </c>
      <c r="D76" s="68">
        <v>3</v>
      </c>
      <c r="E76" s="68" t="s">
        <v>1432</v>
      </c>
      <c r="F76" s="68" t="s">
        <v>1433</v>
      </c>
      <c r="G76" s="68" t="s">
        <v>1429</v>
      </c>
      <c r="H76" s="68" t="s">
        <v>7</v>
      </c>
      <c r="I76" s="68" t="s">
        <v>51</v>
      </c>
    </row>
    <row r="77" spans="1:9" ht="13" x14ac:dyDescent="0.15">
      <c r="A77" s="68">
        <v>2</v>
      </c>
      <c r="B77" s="68">
        <v>5</v>
      </c>
      <c r="C77" s="68" t="s">
        <v>1426</v>
      </c>
      <c r="D77" s="68">
        <v>4</v>
      </c>
      <c r="E77" s="68" t="s">
        <v>1434</v>
      </c>
      <c r="F77" s="68" t="s">
        <v>1435</v>
      </c>
      <c r="G77" s="68" t="s">
        <v>1429</v>
      </c>
      <c r="H77" s="68" t="s">
        <v>1436</v>
      </c>
      <c r="I77" s="68" t="s">
        <v>51</v>
      </c>
    </row>
    <row r="78" spans="1:9" ht="13" x14ac:dyDescent="0.15">
      <c r="A78" s="68">
        <v>2</v>
      </c>
      <c r="B78" s="68">
        <v>5</v>
      </c>
      <c r="C78" s="68" t="s">
        <v>1426</v>
      </c>
      <c r="D78" s="68">
        <v>5</v>
      </c>
      <c r="E78" s="68" t="s">
        <v>1437</v>
      </c>
      <c r="F78" s="68" t="s">
        <v>1438</v>
      </c>
      <c r="G78" s="68" t="s">
        <v>1429</v>
      </c>
      <c r="H78" s="68" t="s">
        <v>1439</v>
      </c>
      <c r="I78" s="68" t="s">
        <v>51</v>
      </c>
    </row>
    <row r="79" spans="1:9" ht="13" x14ac:dyDescent="0.15">
      <c r="A79" s="68">
        <v>2</v>
      </c>
      <c r="B79" s="68">
        <v>5</v>
      </c>
      <c r="C79" s="68" t="s">
        <v>1426</v>
      </c>
      <c r="D79" s="68">
        <v>6</v>
      </c>
      <c r="E79" s="68" t="s">
        <v>1440</v>
      </c>
      <c r="F79" s="68" t="s">
        <v>1441</v>
      </c>
      <c r="G79" s="68" t="s">
        <v>1429</v>
      </c>
      <c r="H79" s="68" t="s">
        <v>1442</v>
      </c>
      <c r="I79" s="68" t="s">
        <v>51</v>
      </c>
    </row>
    <row r="80" spans="1:9" ht="13" x14ac:dyDescent="0.15">
      <c r="A80" s="68">
        <v>2</v>
      </c>
      <c r="B80" s="68">
        <v>5</v>
      </c>
      <c r="C80" s="68" t="s">
        <v>1443</v>
      </c>
      <c r="D80" s="68">
        <v>1</v>
      </c>
      <c r="E80" s="68" t="s">
        <v>1444</v>
      </c>
      <c r="F80" s="68" t="s">
        <v>1445</v>
      </c>
      <c r="G80" s="68">
        <v>2.6</v>
      </c>
      <c r="H80" s="68" t="s">
        <v>1446</v>
      </c>
      <c r="I80" s="68" t="s">
        <v>51</v>
      </c>
    </row>
    <row r="81" spans="1:9" ht="13" x14ac:dyDescent="0.15">
      <c r="A81" s="68">
        <v>2</v>
      </c>
      <c r="B81" s="68">
        <v>5</v>
      </c>
      <c r="C81" s="68" t="s">
        <v>1443</v>
      </c>
      <c r="D81" s="68">
        <v>2</v>
      </c>
      <c r="E81" s="68" t="s">
        <v>1447</v>
      </c>
      <c r="F81" s="68" t="s">
        <v>1448</v>
      </c>
      <c r="G81" s="68">
        <v>2.6</v>
      </c>
      <c r="H81" s="68" t="s">
        <v>1086</v>
      </c>
      <c r="I81" s="68" t="s">
        <v>51</v>
      </c>
    </row>
    <row r="82" spans="1:9" ht="13" x14ac:dyDescent="0.15">
      <c r="A82" s="68">
        <v>2</v>
      </c>
      <c r="B82" s="68">
        <v>5</v>
      </c>
      <c r="C82" s="68" t="s">
        <v>1443</v>
      </c>
      <c r="D82" s="68">
        <v>3</v>
      </c>
      <c r="E82" s="68" t="s">
        <v>1449</v>
      </c>
      <c r="F82" s="68" t="s">
        <v>1450</v>
      </c>
      <c r="G82" s="68">
        <v>2.6</v>
      </c>
      <c r="H82" s="68" t="s">
        <v>1086</v>
      </c>
      <c r="I82" s="68" t="s">
        <v>51</v>
      </c>
    </row>
    <row r="83" spans="1:9" ht="13" x14ac:dyDescent="0.15">
      <c r="A83" s="68">
        <v>2</v>
      </c>
      <c r="B83" s="68">
        <v>5</v>
      </c>
      <c r="C83" s="68" t="s">
        <v>1443</v>
      </c>
      <c r="D83" s="68">
        <v>4</v>
      </c>
      <c r="E83" s="68" t="s">
        <v>1451</v>
      </c>
      <c r="F83" s="68" t="s">
        <v>1452</v>
      </c>
      <c r="G83" s="68">
        <v>2.6</v>
      </c>
      <c r="H83" s="68" t="s">
        <v>1086</v>
      </c>
      <c r="I83" s="68" t="s">
        <v>51</v>
      </c>
    </row>
    <row r="84" spans="1:9" ht="13" x14ac:dyDescent="0.15">
      <c r="A84" s="68">
        <v>2</v>
      </c>
      <c r="B84" s="68">
        <v>5</v>
      </c>
      <c r="C84" s="68" t="s">
        <v>1443</v>
      </c>
      <c r="D84" s="68">
        <v>5</v>
      </c>
      <c r="E84" s="68" t="s">
        <v>1453</v>
      </c>
      <c r="F84" s="68" t="s">
        <v>1454</v>
      </c>
      <c r="G84" s="68">
        <v>2.6</v>
      </c>
      <c r="H84" s="68" t="s">
        <v>1086</v>
      </c>
      <c r="I84" s="68" t="s">
        <v>51</v>
      </c>
    </row>
    <row r="85" spans="1:9" ht="13" x14ac:dyDescent="0.15">
      <c r="A85" s="68">
        <v>2</v>
      </c>
      <c r="B85" s="68">
        <v>5</v>
      </c>
      <c r="C85" s="68" t="s">
        <v>1443</v>
      </c>
      <c r="D85" s="68">
        <v>6</v>
      </c>
      <c r="E85" s="68" t="s">
        <v>1455</v>
      </c>
      <c r="F85" s="68" t="s">
        <v>1456</v>
      </c>
      <c r="G85" s="68">
        <v>2.6</v>
      </c>
      <c r="H85" s="68" t="s">
        <v>1183</v>
      </c>
      <c r="I85" s="68" t="s">
        <v>51</v>
      </c>
    </row>
    <row r="86" spans="1:9" ht="13" x14ac:dyDescent="0.15">
      <c r="A86" s="68">
        <v>2</v>
      </c>
      <c r="B86" s="68">
        <v>5</v>
      </c>
      <c r="C86" s="68" t="s">
        <v>1457</v>
      </c>
      <c r="D86" s="68">
        <v>1</v>
      </c>
      <c r="E86" s="68" t="s">
        <v>1458</v>
      </c>
      <c r="F86" s="68" t="s">
        <v>1459</v>
      </c>
      <c r="G86" s="68" t="s">
        <v>1355</v>
      </c>
      <c r="H86" s="68" t="s">
        <v>1183</v>
      </c>
      <c r="I86" s="68" t="s">
        <v>57</v>
      </c>
    </row>
    <row r="87" spans="1:9" ht="13" x14ac:dyDescent="0.15">
      <c r="A87" s="68">
        <v>2</v>
      </c>
      <c r="B87" s="68">
        <v>5</v>
      </c>
      <c r="C87" s="68" t="s">
        <v>1457</v>
      </c>
      <c r="D87" s="68">
        <v>2</v>
      </c>
      <c r="E87" s="68" t="s">
        <v>1460</v>
      </c>
      <c r="F87" s="68" t="s">
        <v>1461</v>
      </c>
      <c r="G87" s="68" t="s">
        <v>1355</v>
      </c>
      <c r="H87" s="68" t="s">
        <v>1177</v>
      </c>
      <c r="I87" s="68" t="s">
        <v>57</v>
      </c>
    </row>
    <row r="88" spans="1:9" ht="13" x14ac:dyDescent="0.15">
      <c r="A88" s="68">
        <v>2</v>
      </c>
      <c r="B88" s="68">
        <v>5</v>
      </c>
      <c r="C88" s="68" t="s">
        <v>1457</v>
      </c>
      <c r="D88" s="68">
        <v>3</v>
      </c>
      <c r="E88" s="68" t="s">
        <v>1462</v>
      </c>
      <c r="F88" s="68" t="s">
        <v>1463</v>
      </c>
      <c r="G88" s="68" t="s">
        <v>1355</v>
      </c>
      <c r="H88" s="68" t="s">
        <v>1464</v>
      </c>
      <c r="I88" s="68" t="s">
        <v>57</v>
      </c>
    </row>
    <row r="89" spans="1:9" ht="13" x14ac:dyDescent="0.15">
      <c r="A89" s="68">
        <v>2</v>
      </c>
      <c r="B89" s="68">
        <v>5</v>
      </c>
      <c r="C89" s="68" t="s">
        <v>1457</v>
      </c>
      <c r="D89" s="68">
        <v>4</v>
      </c>
      <c r="E89" s="68" t="s">
        <v>1465</v>
      </c>
      <c r="F89" s="68" t="s">
        <v>1466</v>
      </c>
      <c r="G89" s="68" t="s">
        <v>1355</v>
      </c>
      <c r="H89" s="68" t="s">
        <v>1094</v>
      </c>
      <c r="I89" s="68" t="s">
        <v>57</v>
      </c>
    </row>
    <row r="90" spans="1:9" ht="13" x14ac:dyDescent="0.15">
      <c r="A90" s="68">
        <v>2</v>
      </c>
      <c r="B90" s="68">
        <v>5</v>
      </c>
      <c r="C90" s="68" t="s">
        <v>1457</v>
      </c>
      <c r="D90" s="68">
        <v>5</v>
      </c>
      <c r="E90" s="68" t="s">
        <v>1467</v>
      </c>
      <c r="F90" s="68" t="s">
        <v>1468</v>
      </c>
      <c r="G90" s="68" t="s">
        <v>1355</v>
      </c>
      <c r="H90" s="68" t="s">
        <v>1086</v>
      </c>
      <c r="I90" s="68" t="s">
        <v>57</v>
      </c>
    </row>
    <row r="91" spans="1:9" ht="13" x14ac:dyDescent="0.15">
      <c r="A91" s="68">
        <v>2</v>
      </c>
      <c r="B91" s="68">
        <v>5</v>
      </c>
      <c r="C91" s="68" t="s">
        <v>1457</v>
      </c>
      <c r="D91" s="68">
        <v>6</v>
      </c>
      <c r="E91" s="68" t="s">
        <v>1469</v>
      </c>
      <c r="F91" s="68" t="s">
        <v>1470</v>
      </c>
      <c r="G91" s="68" t="s">
        <v>1355</v>
      </c>
      <c r="H91" s="68" t="s">
        <v>1094</v>
      </c>
      <c r="I91" s="68" t="s">
        <v>57</v>
      </c>
    </row>
    <row r="92" spans="1:9" ht="13" x14ac:dyDescent="0.15">
      <c r="A92" s="68">
        <v>2</v>
      </c>
      <c r="B92" s="68">
        <v>5</v>
      </c>
      <c r="C92" s="68" t="s">
        <v>1471</v>
      </c>
      <c r="D92" s="68">
        <v>1</v>
      </c>
      <c r="E92" s="68" t="s">
        <v>1472</v>
      </c>
      <c r="F92" s="68" t="s">
        <v>1473</v>
      </c>
      <c r="G92" s="68" t="s">
        <v>1278</v>
      </c>
      <c r="H92" s="68" t="s">
        <v>1208</v>
      </c>
      <c r="I92" s="68" t="s">
        <v>1087</v>
      </c>
    </row>
    <row r="93" spans="1:9" ht="13" x14ac:dyDescent="0.15">
      <c r="A93" s="68">
        <v>2</v>
      </c>
      <c r="B93" s="68">
        <v>5</v>
      </c>
      <c r="C93" s="68" t="s">
        <v>1471</v>
      </c>
      <c r="D93" s="68">
        <v>2</v>
      </c>
      <c r="E93" s="68" t="s">
        <v>1474</v>
      </c>
      <c r="F93" s="68" t="s">
        <v>1475</v>
      </c>
      <c r="G93" s="68" t="s">
        <v>1278</v>
      </c>
      <c r="H93" s="68" t="s">
        <v>1304</v>
      </c>
      <c r="I93" s="68" t="s">
        <v>1087</v>
      </c>
    </row>
    <row r="94" spans="1:9" ht="13" x14ac:dyDescent="0.15">
      <c r="A94" s="68">
        <v>2</v>
      </c>
      <c r="B94" s="68">
        <v>5</v>
      </c>
      <c r="C94" s="68" t="s">
        <v>1471</v>
      </c>
      <c r="D94" s="68">
        <v>3</v>
      </c>
      <c r="E94" s="68" t="s">
        <v>1476</v>
      </c>
      <c r="F94" s="68" t="s">
        <v>1477</v>
      </c>
      <c r="G94" s="68" t="s">
        <v>1278</v>
      </c>
      <c r="H94" s="68" t="s">
        <v>13</v>
      </c>
      <c r="I94" s="68" t="s">
        <v>1087</v>
      </c>
    </row>
    <row r="95" spans="1:9" ht="13" x14ac:dyDescent="0.15">
      <c r="A95" s="68">
        <v>2</v>
      </c>
      <c r="B95" s="68">
        <v>5</v>
      </c>
      <c r="C95" s="68" t="s">
        <v>1471</v>
      </c>
      <c r="D95" s="68">
        <v>4</v>
      </c>
      <c r="E95" s="68" t="s">
        <v>1478</v>
      </c>
      <c r="F95" s="68" t="s">
        <v>1479</v>
      </c>
      <c r="G95" s="68" t="s">
        <v>1278</v>
      </c>
      <c r="H95" s="68" t="s">
        <v>1208</v>
      </c>
      <c r="I95" s="68" t="s">
        <v>1087</v>
      </c>
    </row>
    <row r="96" spans="1:9" ht="13" x14ac:dyDescent="0.15">
      <c r="A96" s="68">
        <v>2</v>
      </c>
      <c r="B96" s="68">
        <v>5</v>
      </c>
      <c r="C96" s="68" t="s">
        <v>1471</v>
      </c>
      <c r="D96" s="68">
        <v>5</v>
      </c>
      <c r="E96" s="68" t="s">
        <v>1480</v>
      </c>
      <c r="F96" s="68" t="s">
        <v>1481</v>
      </c>
      <c r="G96" s="68" t="s">
        <v>1278</v>
      </c>
      <c r="H96" s="68" t="s">
        <v>1208</v>
      </c>
      <c r="I96" s="68" t="s">
        <v>1087</v>
      </c>
    </row>
    <row r="97" spans="1:9" ht="13" x14ac:dyDescent="0.15">
      <c r="A97" s="68">
        <v>2</v>
      </c>
      <c r="B97" s="68">
        <v>5</v>
      </c>
      <c r="C97" s="68" t="s">
        <v>1471</v>
      </c>
      <c r="D97" s="68">
        <v>6</v>
      </c>
      <c r="E97" s="68" t="s">
        <v>1482</v>
      </c>
      <c r="F97" s="68" t="s">
        <v>1483</v>
      </c>
      <c r="G97" s="68" t="s">
        <v>1278</v>
      </c>
      <c r="H97" s="68" t="s">
        <v>1208</v>
      </c>
      <c r="I97" s="68" t="s">
        <v>1087</v>
      </c>
    </row>
    <row r="98" spans="1:9" ht="13" x14ac:dyDescent="0.15">
      <c r="A98" s="68">
        <v>2</v>
      </c>
      <c r="B98" s="68">
        <v>5</v>
      </c>
      <c r="C98" s="68" t="s">
        <v>1484</v>
      </c>
      <c r="D98" s="68">
        <v>1</v>
      </c>
      <c r="E98" s="68" t="s">
        <v>1485</v>
      </c>
      <c r="F98" s="68" t="s">
        <v>1486</v>
      </c>
      <c r="G98" s="68" t="s">
        <v>1308</v>
      </c>
      <c r="H98" s="68" t="s">
        <v>1487</v>
      </c>
      <c r="I98" s="68" t="s">
        <v>1087</v>
      </c>
    </row>
    <row r="99" spans="1:9" ht="13" x14ac:dyDescent="0.15">
      <c r="A99" s="68">
        <v>2</v>
      </c>
      <c r="B99" s="68">
        <v>5</v>
      </c>
      <c r="C99" s="68" t="s">
        <v>1484</v>
      </c>
      <c r="D99" s="68">
        <v>2</v>
      </c>
      <c r="E99" s="68" t="s">
        <v>1488</v>
      </c>
      <c r="F99" s="68" t="s">
        <v>1489</v>
      </c>
      <c r="G99" s="68" t="s">
        <v>1308</v>
      </c>
      <c r="H99" s="68" t="s">
        <v>1487</v>
      </c>
      <c r="I99" s="68" t="s">
        <v>1087</v>
      </c>
    </row>
    <row r="100" spans="1:9" ht="13" x14ac:dyDescent="0.15">
      <c r="A100" s="68">
        <v>2</v>
      </c>
      <c r="B100" s="68">
        <v>5</v>
      </c>
      <c r="C100" s="68" t="s">
        <v>1484</v>
      </c>
      <c r="D100" s="68">
        <v>3</v>
      </c>
      <c r="E100" s="68" t="s">
        <v>1490</v>
      </c>
      <c r="F100" s="68" t="s">
        <v>1491</v>
      </c>
      <c r="G100" s="68" t="s">
        <v>1308</v>
      </c>
      <c r="H100" s="68" t="s">
        <v>1487</v>
      </c>
      <c r="I100" s="68" t="s">
        <v>1087</v>
      </c>
    </row>
    <row r="101" spans="1:9" ht="13" x14ac:dyDescent="0.15">
      <c r="A101" s="68">
        <v>2</v>
      </c>
      <c r="B101" s="68">
        <v>5</v>
      </c>
      <c r="C101" s="68" t="s">
        <v>1484</v>
      </c>
      <c r="D101" s="68">
        <v>4</v>
      </c>
      <c r="E101" s="68" t="s">
        <v>1492</v>
      </c>
      <c r="F101" s="68" t="s">
        <v>1493</v>
      </c>
      <c r="G101" s="68" t="s">
        <v>1308</v>
      </c>
      <c r="H101" s="68" t="s">
        <v>28</v>
      </c>
      <c r="I101" s="68" t="s">
        <v>1087</v>
      </c>
    </row>
    <row r="102" spans="1:9" ht="13" x14ac:dyDescent="0.15">
      <c r="A102" s="68">
        <v>2</v>
      </c>
      <c r="B102" s="68">
        <v>5</v>
      </c>
      <c r="C102" s="68" t="s">
        <v>1484</v>
      </c>
      <c r="D102" s="68">
        <v>5</v>
      </c>
      <c r="E102" s="68" t="s">
        <v>1494</v>
      </c>
      <c r="F102" s="68" t="s">
        <v>1495</v>
      </c>
      <c r="G102" s="68" t="s">
        <v>1308</v>
      </c>
      <c r="H102" s="68" t="s">
        <v>1496</v>
      </c>
      <c r="I102" s="68" t="s">
        <v>1087</v>
      </c>
    </row>
    <row r="103" spans="1:9" ht="13" x14ac:dyDescent="0.15">
      <c r="A103" s="68">
        <v>2</v>
      </c>
      <c r="B103" s="68">
        <v>5</v>
      </c>
      <c r="C103" s="68" t="s">
        <v>1484</v>
      </c>
      <c r="D103" s="68">
        <v>6</v>
      </c>
      <c r="E103" s="68" t="s">
        <v>1497</v>
      </c>
      <c r="F103" s="68" t="s">
        <v>1498</v>
      </c>
      <c r="G103" s="68" t="s">
        <v>1308</v>
      </c>
      <c r="H103" s="68" t="s">
        <v>1496</v>
      </c>
      <c r="I103" s="68" t="s">
        <v>1087</v>
      </c>
    </row>
    <row r="104" spans="1:9" ht="13" x14ac:dyDescent="0.15">
      <c r="A104" s="68">
        <v>2</v>
      </c>
      <c r="B104" s="68">
        <v>5</v>
      </c>
      <c r="C104" s="68" t="s">
        <v>1499</v>
      </c>
      <c r="D104" s="68">
        <v>1</v>
      </c>
      <c r="E104" s="68" t="s">
        <v>1500</v>
      </c>
      <c r="F104" s="68" t="s">
        <v>1501</v>
      </c>
      <c r="G104" s="68" t="s">
        <v>1308</v>
      </c>
      <c r="H104" s="68" t="s">
        <v>1225</v>
      </c>
      <c r="I104" s="68" t="s">
        <v>1087</v>
      </c>
    </row>
    <row r="105" spans="1:9" ht="13" x14ac:dyDescent="0.15">
      <c r="A105" s="68">
        <v>2</v>
      </c>
      <c r="B105" s="68">
        <v>5</v>
      </c>
      <c r="C105" s="68" t="s">
        <v>1499</v>
      </c>
      <c r="D105" s="68">
        <v>2</v>
      </c>
      <c r="E105" s="68" t="s">
        <v>1502</v>
      </c>
      <c r="F105" s="68" t="s">
        <v>1503</v>
      </c>
      <c r="G105" s="68" t="s">
        <v>1308</v>
      </c>
      <c r="H105" s="68" t="s">
        <v>1225</v>
      </c>
      <c r="I105" s="68" t="s">
        <v>1087</v>
      </c>
    </row>
    <row r="106" spans="1:9" ht="13" x14ac:dyDescent="0.15">
      <c r="A106" s="68">
        <v>2</v>
      </c>
      <c r="B106" s="68">
        <v>5</v>
      </c>
      <c r="C106" s="68" t="s">
        <v>1499</v>
      </c>
      <c r="D106" s="68">
        <v>3</v>
      </c>
      <c r="E106" s="68" t="s">
        <v>1504</v>
      </c>
      <c r="F106" s="68" t="s">
        <v>1505</v>
      </c>
      <c r="G106" s="68" t="s">
        <v>1308</v>
      </c>
      <c r="H106" s="68" t="s">
        <v>1225</v>
      </c>
      <c r="I106" s="68" t="s">
        <v>1087</v>
      </c>
    </row>
    <row r="107" spans="1:9" ht="13" x14ac:dyDescent="0.15">
      <c r="A107" s="68">
        <v>2</v>
      </c>
      <c r="B107" s="68">
        <v>5</v>
      </c>
      <c r="C107" s="68" t="s">
        <v>1499</v>
      </c>
      <c r="D107" s="68">
        <v>4</v>
      </c>
      <c r="E107" s="68" t="s">
        <v>1506</v>
      </c>
      <c r="F107" s="68" t="s">
        <v>1507</v>
      </c>
      <c r="G107" s="68" t="s">
        <v>1308</v>
      </c>
      <c r="H107" s="68" t="s">
        <v>1154</v>
      </c>
      <c r="I107" s="68" t="s">
        <v>1087</v>
      </c>
    </row>
    <row r="108" spans="1:9" ht="13" x14ac:dyDescent="0.15">
      <c r="A108" s="68">
        <v>2</v>
      </c>
      <c r="B108" s="68">
        <v>5</v>
      </c>
      <c r="C108" s="68" t="s">
        <v>1499</v>
      </c>
      <c r="D108" s="68">
        <v>5</v>
      </c>
      <c r="E108" s="68" t="s">
        <v>1508</v>
      </c>
      <c r="F108" s="68" t="s">
        <v>1509</v>
      </c>
      <c r="G108" s="68" t="s">
        <v>1308</v>
      </c>
      <c r="H108" s="68" t="s">
        <v>1154</v>
      </c>
      <c r="I108" s="68" t="s">
        <v>1087</v>
      </c>
    </row>
    <row r="109" spans="1:9" ht="13" x14ac:dyDescent="0.15">
      <c r="A109" s="68">
        <v>2</v>
      </c>
      <c r="B109" s="68">
        <v>5</v>
      </c>
      <c r="C109" s="68" t="s">
        <v>1499</v>
      </c>
      <c r="D109" s="68">
        <v>6</v>
      </c>
      <c r="E109" s="68" t="s">
        <v>1510</v>
      </c>
      <c r="F109" s="68" t="s">
        <v>1511</v>
      </c>
      <c r="G109" s="68" t="s">
        <v>1308</v>
      </c>
      <c r="H109" s="68" t="s">
        <v>1154</v>
      </c>
      <c r="I109" s="68" t="s">
        <v>1087</v>
      </c>
    </row>
    <row r="110" spans="1:9" ht="13" x14ac:dyDescent="0.15">
      <c r="A110" s="68">
        <v>2</v>
      </c>
      <c r="B110" s="68">
        <v>6</v>
      </c>
      <c r="C110" s="68" t="s">
        <v>1512</v>
      </c>
      <c r="D110" s="68">
        <v>1</v>
      </c>
      <c r="E110" s="68" t="s">
        <v>1513</v>
      </c>
      <c r="F110" s="68" t="s">
        <v>1514</v>
      </c>
      <c r="G110" s="68" t="s">
        <v>1515</v>
      </c>
      <c r="H110" s="68" t="s">
        <v>1439</v>
      </c>
      <c r="I110" s="68" t="s">
        <v>58</v>
      </c>
    </row>
    <row r="111" spans="1:9" ht="13" x14ac:dyDescent="0.15">
      <c r="A111" s="68">
        <v>2</v>
      </c>
      <c r="B111" s="68">
        <v>6</v>
      </c>
      <c r="C111" s="68" t="s">
        <v>1512</v>
      </c>
      <c r="D111" s="68">
        <v>2</v>
      </c>
      <c r="E111" s="68" t="s">
        <v>1516</v>
      </c>
      <c r="F111" s="68" t="s">
        <v>1517</v>
      </c>
      <c r="G111" s="68" t="s">
        <v>1515</v>
      </c>
      <c r="H111" s="68" t="s">
        <v>1439</v>
      </c>
      <c r="I111" s="68" t="s">
        <v>58</v>
      </c>
    </row>
    <row r="112" spans="1:9" ht="13" x14ac:dyDescent="0.15">
      <c r="A112" s="68">
        <v>2</v>
      </c>
      <c r="B112" s="68">
        <v>6</v>
      </c>
      <c r="C112" s="68" t="s">
        <v>1512</v>
      </c>
      <c r="D112" s="68">
        <v>3</v>
      </c>
      <c r="E112" s="68" t="s">
        <v>1518</v>
      </c>
      <c r="F112" s="68" t="s">
        <v>1519</v>
      </c>
      <c r="G112" s="68" t="s">
        <v>1515</v>
      </c>
      <c r="H112" s="68" t="s">
        <v>1439</v>
      </c>
      <c r="I112" s="68" t="s">
        <v>58</v>
      </c>
    </row>
    <row r="113" spans="1:9" ht="13" x14ac:dyDescent="0.15">
      <c r="A113" s="68">
        <v>2</v>
      </c>
      <c r="B113" s="68">
        <v>6</v>
      </c>
      <c r="C113" s="68" t="s">
        <v>1512</v>
      </c>
      <c r="D113" s="68">
        <v>4</v>
      </c>
      <c r="E113" s="68" t="s">
        <v>1520</v>
      </c>
      <c r="F113" s="68" t="s">
        <v>1521</v>
      </c>
      <c r="G113" s="68" t="s">
        <v>1515</v>
      </c>
      <c r="H113" s="68" t="s">
        <v>1522</v>
      </c>
      <c r="I113" s="68" t="s">
        <v>58</v>
      </c>
    </row>
    <row r="114" spans="1:9" ht="13" x14ac:dyDescent="0.15">
      <c r="A114" s="68">
        <v>2</v>
      </c>
      <c r="B114" s="68">
        <v>6</v>
      </c>
      <c r="C114" s="68" t="s">
        <v>1512</v>
      </c>
      <c r="D114" s="68">
        <v>5</v>
      </c>
      <c r="E114" s="68" t="s">
        <v>1523</v>
      </c>
      <c r="F114" s="68" t="s">
        <v>1524</v>
      </c>
      <c r="G114" s="68" t="s">
        <v>1515</v>
      </c>
      <c r="H114" s="68" t="s">
        <v>1439</v>
      </c>
      <c r="I114" s="68" t="s">
        <v>58</v>
      </c>
    </row>
    <row r="115" spans="1:9" ht="13" x14ac:dyDescent="0.15">
      <c r="A115" s="68">
        <v>2</v>
      </c>
      <c r="B115" s="68">
        <v>6</v>
      </c>
      <c r="C115" s="68" t="s">
        <v>1512</v>
      </c>
      <c r="D115" s="68">
        <v>6</v>
      </c>
      <c r="E115" s="68" t="s">
        <v>1525</v>
      </c>
      <c r="F115" s="68" t="s">
        <v>1526</v>
      </c>
      <c r="G115" s="68" t="s">
        <v>1515</v>
      </c>
      <c r="H115" s="68" t="s">
        <v>1442</v>
      </c>
      <c r="I115" s="68" t="s">
        <v>58</v>
      </c>
    </row>
    <row r="116" spans="1:9" ht="13" x14ac:dyDescent="0.15">
      <c r="A116" s="68">
        <v>2</v>
      </c>
      <c r="B116" s="68">
        <v>6</v>
      </c>
      <c r="C116" s="68" t="s">
        <v>1527</v>
      </c>
      <c r="D116" s="68">
        <v>1</v>
      </c>
      <c r="E116" s="68" t="s">
        <v>1528</v>
      </c>
      <c r="F116" s="68" t="s">
        <v>1529</v>
      </c>
      <c r="G116" s="68" t="s">
        <v>1264</v>
      </c>
      <c r="H116" s="68" t="s">
        <v>1086</v>
      </c>
      <c r="I116" s="68" t="s">
        <v>52</v>
      </c>
    </row>
    <row r="117" spans="1:9" ht="13" x14ac:dyDescent="0.15">
      <c r="A117" s="68">
        <v>2</v>
      </c>
      <c r="B117" s="68">
        <v>6</v>
      </c>
      <c r="C117" s="68" t="s">
        <v>1527</v>
      </c>
      <c r="D117" s="68">
        <v>2</v>
      </c>
      <c r="E117" s="68" t="s">
        <v>1530</v>
      </c>
      <c r="F117" s="68" t="s">
        <v>1531</v>
      </c>
      <c r="G117" s="68" t="s">
        <v>1264</v>
      </c>
      <c r="H117" s="68" t="s">
        <v>1086</v>
      </c>
      <c r="I117" s="68" t="s">
        <v>52</v>
      </c>
    </row>
    <row r="118" spans="1:9" ht="13" x14ac:dyDescent="0.15">
      <c r="A118" s="68">
        <v>2</v>
      </c>
      <c r="B118" s="68">
        <v>6</v>
      </c>
      <c r="C118" s="68" t="s">
        <v>1527</v>
      </c>
      <c r="D118" s="68">
        <v>3</v>
      </c>
      <c r="E118" s="68" t="s">
        <v>1532</v>
      </c>
      <c r="F118" s="68" t="s">
        <v>1533</v>
      </c>
      <c r="G118" s="68" t="s">
        <v>1264</v>
      </c>
      <c r="H118" s="68" t="s">
        <v>1086</v>
      </c>
      <c r="I118" s="68" t="s">
        <v>52</v>
      </c>
    </row>
    <row r="119" spans="1:9" ht="13" x14ac:dyDescent="0.15">
      <c r="A119" s="68">
        <v>2</v>
      </c>
      <c r="B119" s="68">
        <v>6</v>
      </c>
      <c r="C119" s="68" t="s">
        <v>1527</v>
      </c>
      <c r="D119" s="68">
        <v>4</v>
      </c>
      <c r="E119" s="68" t="s">
        <v>1534</v>
      </c>
      <c r="F119" s="68" t="s">
        <v>1535</v>
      </c>
      <c r="G119" s="68" t="s">
        <v>1264</v>
      </c>
      <c r="H119" s="68" t="s">
        <v>1086</v>
      </c>
      <c r="I119" s="68" t="s">
        <v>52</v>
      </c>
    </row>
    <row r="120" spans="1:9" ht="13" x14ac:dyDescent="0.15">
      <c r="A120" s="68">
        <v>2</v>
      </c>
      <c r="B120" s="68">
        <v>6</v>
      </c>
      <c r="C120" s="68" t="s">
        <v>1527</v>
      </c>
      <c r="D120" s="68">
        <v>5</v>
      </c>
      <c r="E120" s="68" t="s">
        <v>1536</v>
      </c>
      <c r="F120" s="68" t="s">
        <v>1537</v>
      </c>
      <c r="G120" s="68" t="s">
        <v>1264</v>
      </c>
      <c r="H120" s="68" t="s">
        <v>1094</v>
      </c>
      <c r="I120" s="68" t="s">
        <v>52</v>
      </c>
    </row>
    <row r="121" spans="1:9" ht="13" x14ac:dyDescent="0.15">
      <c r="A121" s="68">
        <v>2</v>
      </c>
      <c r="B121" s="68">
        <v>6</v>
      </c>
      <c r="C121" s="68" t="s">
        <v>1527</v>
      </c>
      <c r="D121" s="68">
        <v>6</v>
      </c>
      <c r="E121" s="68" t="s">
        <v>1538</v>
      </c>
      <c r="F121" s="68" t="s">
        <v>1539</v>
      </c>
      <c r="G121" s="68" t="s">
        <v>1264</v>
      </c>
      <c r="H121" s="68" t="s">
        <v>1094</v>
      </c>
      <c r="I121" s="68" t="s">
        <v>52</v>
      </c>
    </row>
    <row r="122" spans="1:9" ht="13" x14ac:dyDescent="0.15">
      <c r="A122" s="68">
        <v>2</v>
      </c>
      <c r="B122" s="68">
        <v>6</v>
      </c>
      <c r="C122" s="68" t="s">
        <v>1540</v>
      </c>
      <c r="D122" s="68">
        <v>1</v>
      </c>
      <c r="E122" s="68" t="s">
        <v>1541</v>
      </c>
      <c r="F122" s="68" t="s">
        <v>1542</v>
      </c>
      <c r="G122" s="68" t="s">
        <v>1355</v>
      </c>
      <c r="H122" s="68" t="s">
        <v>1543</v>
      </c>
      <c r="I122" s="68" t="s">
        <v>59</v>
      </c>
    </row>
    <row r="123" spans="1:9" ht="13" x14ac:dyDescent="0.15">
      <c r="A123" s="68">
        <v>2</v>
      </c>
      <c r="B123" s="68">
        <v>6</v>
      </c>
      <c r="C123" s="68" t="s">
        <v>1540</v>
      </c>
      <c r="D123" s="68">
        <v>2</v>
      </c>
      <c r="E123" s="68" t="s">
        <v>1544</v>
      </c>
      <c r="F123" s="68" t="s">
        <v>1545</v>
      </c>
      <c r="G123" s="68" t="s">
        <v>1355</v>
      </c>
      <c r="H123" s="68" t="s">
        <v>1183</v>
      </c>
      <c r="I123" s="68" t="s">
        <v>59</v>
      </c>
    </row>
    <row r="124" spans="1:9" ht="13" x14ac:dyDescent="0.15">
      <c r="A124" s="68">
        <v>2</v>
      </c>
      <c r="B124" s="68">
        <v>6</v>
      </c>
      <c r="C124" s="68" t="s">
        <v>1540</v>
      </c>
      <c r="D124" s="68">
        <v>3</v>
      </c>
      <c r="E124" s="68" t="s">
        <v>1546</v>
      </c>
      <c r="F124" s="68" t="s">
        <v>1547</v>
      </c>
      <c r="G124" s="68" t="s">
        <v>1355</v>
      </c>
      <c r="H124" s="68" t="s">
        <v>1548</v>
      </c>
      <c r="I124" s="68" t="s">
        <v>59</v>
      </c>
    </row>
    <row r="125" spans="1:9" ht="13" x14ac:dyDescent="0.15">
      <c r="A125" s="68">
        <v>2</v>
      </c>
      <c r="B125" s="68">
        <v>6</v>
      </c>
      <c r="C125" s="68" t="s">
        <v>1540</v>
      </c>
      <c r="D125" s="68">
        <v>4</v>
      </c>
      <c r="E125" s="68" t="s">
        <v>1549</v>
      </c>
      <c r="F125" s="68" t="s">
        <v>1550</v>
      </c>
      <c r="G125" s="68" t="s">
        <v>1355</v>
      </c>
      <c r="H125" s="68" t="s">
        <v>1094</v>
      </c>
      <c r="I125" s="68" t="s">
        <v>59</v>
      </c>
    </row>
    <row r="126" spans="1:9" ht="13" x14ac:dyDescent="0.15">
      <c r="A126" s="68">
        <v>2</v>
      </c>
      <c r="B126" s="68">
        <v>6</v>
      </c>
      <c r="C126" s="68" t="s">
        <v>1540</v>
      </c>
      <c r="D126" s="68">
        <v>5</v>
      </c>
      <c r="E126" s="68" t="s">
        <v>1551</v>
      </c>
      <c r="F126" s="68" t="s">
        <v>1552</v>
      </c>
      <c r="G126" s="68" t="s">
        <v>1355</v>
      </c>
      <c r="H126" s="68" t="s">
        <v>1553</v>
      </c>
      <c r="I126" s="68" t="s">
        <v>59</v>
      </c>
    </row>
    <row r="127" spans="1:9" ht="13" x14ac:dyDescent="0.15">
      <c r="A127" s="68">
        <v>2</v>
      </c>
      <c r="B127" s="68">
        <v>6</v>
      </c>
      <c r="C127" s="68" t="s">
        <v>1540</v>
      </c>
      <c r="D127" s="68">
        <v>6</v>
      </c>
      <c r="E127" s="68" t="s">
        <v>1554</v>
      </c>
      <c r="F127" s="68" t="s">
        <v>1555</v>
      </c>
      <c r="G127" s="68" t="s">
        <v>1355</v>
      </c>
      <c r="H127" s="68" t="s">
        <v>1556</v>
      </c>
      <c r="I127" s="68" t="s">
        <v>59</v>
      </c>
    </row>
    <row r="128" spans="1:9" ht="13" x14ac:dyDescent="0.15">
      <c r="A128" s="68">
        <v>2</v>
      </c>
      <c r="B128" s="68">
        <v>6</v>
      </c>
      <c r="C128" s="68" t="s">
        <v>1557</v>
      </c>
      <c r="D128" s="68">
        <v>1</v>
      </c>
      <c r="E128" s="68" t="s">
        <v>1558</v>
      </c>
      <c r="F128" s="68" t="s">
        <v>1559</v>
      </c>
      <c r="G128" s="68">
        <v>2.6</v>
      </c>
      <c r="H128" s="68" t="s">
        <v>13</v>
      </c>
      <c r="I128" s="68" t="s">
        <v>1087</v>
      </c>
    </row>
    <row r="129" spans="1:9" ht="13" x14ac:dyDescent="0.15">
      <c r="A129" s="68">
        <v>2</v>
      </c>
      <c r="B129" s="68">
        <v>6</v>
      </c>
      <c r="C129" s="68" t="s">
        <v>1557</v>
      </c>
      <c r="D129" s="68">
        <v>2</v>
      </c>
      <c r="E129" s="68" t="s">
        <v>1560</v>
      </c>
      <c r="F129" s="68" t="s">
        <v>1561</v>
      </c>
      <c r="G129" s="68">
        <v>2.6</v>
      </c>
      <c r="H129" s="68" t="s">
        <v>13</v>
      </c>
      <c r="I129" s="68" t="s">
        <v>1087</v>
      </c>
    </row>
    <row r="130" spans="1:9" ht="13" x14ac:dyDescent="0.15">
      <c r="A130" s="68">
        <v>2</v>
      </c>
      <c r="B130" s="68">
        <v>6</v>
      </c>
      <c r="C130" s="68" t="s">
        <v>1557</v>
      </c>
      <c r="D130" s="68">
        <v>3</v>
      </c>
      <c r="E130" s="68" t="s">
        <v>1562</v>
      </c>
      <c r="F130" s="68" t="s">
        <v>1563</v>
      </c>
      <c r="G130" s="68">
        <v>2.6</v>
      </c>
      <c r="H130" s="68" t="s">
        <v>1564</v>
      </c>
      <c r="I130" s="68" t="s">
        <v>1087</v>
      </c>
    </row>
    <row r="131" spans="1:9" ht="13" x14ac:dyDescent="0.15">
      <c r="A131" s="68">
        <v>2</v>
      </c>
      <c r="B131" s="68">
        <v>6</v>
      </c>
      <c r="C131" s="68" t="s">
        <v>1557</v>
      </c>
      <c r="D131" s="68">
        <v>4</v>
      </c>
      <c r="E131" s="68" t="s">
        <v>1565</v>
      </c>
      <c r="F131" s="68" t="s">
        <v>1566</v>
      </c>
      <c r="G131" s="68">
        <v>2.6</v>
      </c>
      <c r="H131" s="68" t="s">
        <v>1564</v>
      </c>
      <c r="I131" s="68" t="s">
        <v>1087</v>
      </c>
    </row>
    <row r="132" spans="1:9" ht="13" x14ac:dyDescent="0.15">
      <c r="A132" s="68">
        <v>2</v>
      </c>
      <c r="B132" s="68">
        <v>6</v>
      </c>
      <c r="C132" s="68" t="s">
        <v>1557</v>
      </c>
      <c r="D132" s="68">
        <v>5</v>
      </c>
      <c r="E132" s="68" t="s">
        <v>1567</v>
      </c>
      <c r="F132" s="68" t="s">
        <v>1568</v>
      </c>
      <c r="G132" s="68">
        <v>2.6</v>
      </c>
      <c r="H132" s="68" t="s">
        <v>1208</v>
      </c>
      <c r="I132" s="68" t="s">
        <v>1087</v>
      </c>
    </row>
    <row r="133" spans="1:9" ht="13" x14ac:dyDescent="0.15">
      <c r="A133" s="68">
        <v>2</v>
      </c>
      <c r="B133" s="68">
        <v>6</v>
      </c>
      <c r="C133" s="68" t="s">
        <v>1557</v>
      </c>
      <c r="D133" s="68">
        <v>6</v>
      </c>
      <c r="E133" s="68" t="s">
        <v>1569</v>
      </c>
      <c r="F133" s="68" t="s">
        <v>1570</v>
      </c>
      <c r="G133" s="68">
        <v>2.6</v>
      </c>
      <c r="H133" s="68" t="s">
        <v>1446</v>
      </c>
      <c r="I133" s="68" t="s">
        <v>1087</v>
      </c>
    </row>
    <row r="134" spans="1:9" ht="13" x14ac:dyDescent="0.15">
      <c r="A134" s="68">
        <v>2</v>
      </c>
      <c r="B134" s="68">
        <v>6</v>
      </c>
      <c r="C134" s="68" t="s">
        <v>1571</v>
      </c>
      <c r="D134" s="68">
        <v>1</v>
      </c>
      <c r="E134" s="68" t="s">
        <v>1572</v>
      </c>
      <c r="F134" s="68" t="s">
        <v>1573</v>
      </c>
      <c r="G134" s="68" t="s">
        <v>1308</v>
      </c>
      <c r="H134" s="68" t="s">
        <v>28</v>
      </c>
      <c r="I134" s="68" t="s">
        <v>1087</v>
      </c>
    </row>
    <row r="135" spans="1:9" ht="13" x14ac:dyDescent="0.15">
      <c r="A135" s="68">
        <v>2</v>
      </c>
      <c r="B135" s="68">
        <v>6</v>
      </c>
      <c r="C135" s="68" t="s">
        <v>1571</v>
      </c>
      <c r="D135" s="68">
        <v>2</v>
      </c>
      <c r="E135" s="68" t="s">
        <v>1574</v>
      </c>
      <c r="F135" s="68" t="s">
        <v>1575</v>
      </c>
      <c r="G135" s="68" t="s">
        <v>1308</v>
      </c>
      <c r="H135" s="68" t="s">
        <v>28</v>
      </c>
      <c r="I135" s="68" t="s">
        <v>1087</v>
      </c>
    </row>
    <row r="136" spans="1:9" ht="13" x14ac:dyDescent="0.15">
      <c r="A136" s="68">
        <v>2</v>
      </c>
      <c r="B136" s="68">
        <v>6</v>
      </c>
      <c r="C136" s="68" t="s">
        <v>1571</v>
      </c>
      <c r="D136" s="68">
        <v>3</v>
      </c>
      <c r="E136" s="68" t="s">
        <v>1576</v>
      </c>
      <c r="F136" s="68" t="s">
        <v>1577</v>
      </c>
      <c r="G136" s="68" t="s">
        <v>1308</v>
      </c>
      <c r="H136" s="68" t="s">
        <v>1154</v>
      </c>
      <c r="I136" s="68" t="s">
        <v>1087</v>
      </c>
    </row>
    <row r="137" spans="1:9" ht="13" x14ac:dyDescent="0.15">
      <c r="A137" s="68">
        <v>2</v>
      </c>
      <c r="B137" s="68">
        <v>6</v>
      </c>
      <c r="C137" s="68" t="s">
        <v>1571</v>
      </c>
      <c r="D137" s="68">
        <v>4</v>
      </c>
      <c r="E137" s="68" t="s">
        <v>1578</v>
      </c>
      <c r="F137" s="68" t="s">
        <v>1579</v>
      </c>
      <c r="G137" s="68" t="s">
        <v>1308</v>
      </c>
      <c r="H137" s="68" t="s">
        <v>1154</v>
      </c>
      <c r="I137" s="68" t="s">
        <v>1087</v>
      </c>
    </row>
    <row r="138" spans="1:9" ht="13" x14ac:dyDescent="0.15">
      <c r="A138" s="68">
        <v>2</v>
      </c>
      <c r="B138" s="68">
        <v>6</v>
      </c>
      <c r="C138" s="68" t="s">
        <v>1571</v>
      </c>
      <c r="D138" s="68">
        <v>5</v>
      </c>
      <c r="E138" s="68" t="s">
        <v>1580</v>
      </c>
      <c r="F138" s="68" t="s">
        <v>1581</v>
      </c>
      <c r="G138" s="68" t="s">
        <v>1308</v>
      </c>
      <c r="H138" s="68" t="s">
        <v>1154</v>
      </c>
      <c r="I138" s="68" t="s">
        <v>1087</v>
      </c>
    </row>
    <row r="139" spans="1:9" ht="13" x14ac:dyDescent="0.15">
      <c r="A139" s="68">
        <v>2</v>
      </c>
      <c r="B139" s="68">
        <v>6</v>
      </c>
      <c r="C139" s="68" t="s">
        <v>1571</v>
      </c>
      <c r="D139" s="68">
        <v>6</v>
      </c>
      <c r="E139" s="68" t="s">
        <v>1582</v>
      </c>
      <c r="F139" s="68" t="s">
        <v>1583</v>
      </c>
      <c r="G139" s="68" t="s">
        <v>1308</v>
      </c>
      <c r="H139" s="68" t="s">
        <v>1154</v>
      </c>
      <c r="I139" s="68" t="s">
        <v>1087</v>
      </c>
    </row>
    <row r="140" spans="1:9" ht="13" x14ac:dyDescent="0.15">
      <c r="A140" s="68">
        <v>2</v>
      </c>
      <c r="B140" s="68">
        <v>6</v>
      </c>
      <c r="C140" s="68" t="s">
        <v>1584</v>
      </c>
      <c r="D140" s="68">
        <v>1</v>
      </c>
      <c r="E140" s="68" t="s">
        <v>1585</v>
      </c>
      <c r="F140" s="68" t="s">
        <v>1586</v>
      </c>
      <c r="G140" s="68" t="s">
        <v>1308</v>
      </c>
      <c r="H140" s="68" t="s">
        <v>1487</v>
      </c>
      <c r="I140" s="68" t="s">
        <v>1087</v>
      </c>
    </row>
    <row r="141" spans="1:9" ht="13" x14ac:dyDescent="0.15">
      <c r="A141" s="68">
        <v>2</v>
      </c>
      <c r="B141" s="68">
        <v>6</v>
      </c>
      <c r="C141" s="68" t="s">
        <v>1584</v>
      </c>
      <c r="D141" s="68">
        <v>2</v>
      </c>
      <c r="E141" s="68" t="s">
        <v>1587</v>
      </c>
      <c r="F141" s="68" t="s">
        <v>1588</v>
      </c>
      <c r="G141" s="68" t="s">
        <v>1308</v>
      </c>
      <c r="H141" s="68" t="s">
        <v>1487</v>
      </c>
      <c r="I141" s="68" t="s">
        <v>1087</v>
      </c>
    </row>
    <row r="142" spans="1:9" ht="13" x14ac:dyDescent="0.15">
      <c r="A142" s="68">
        <v>2</v>
      </c>
      <c r="B142" s="68">
        <v>6</v>
      </c>
      <c r="C142" s="68" t="s">
        <v>1584</v>
      </c>
      <c r="D142" s="68">
        <v>3</v>
      </c>
      <c r="E142" s="68" t="s">
        <v>1589</v>
      </c>
      <c r="F142" s="68" t="s">
        <v>1590</v>
      </c>
      <c r="G142" s="68" t="s">
        <v>1308</v>
      </c>
      <c r="H142" s="68" t="s">
        <v>1487</v>
      </c>
      <c r="I142" s="68" t="s">
        <v>1087</v>
      </c>
    </row>
    <row r="143" spans="1:9" ht="13" x14ac:dyDescent="0.15">
      <c r="A143" s="68">
        <v>2</v>
      </c>
      <c r="B143" s="68">
        <v>6</v>
      </c>
      <c r="C143" s="68" t="s">
        <v>1584</v>
      </c>
      <c r="D143" s="68">
        <v>4</v>
      </c>
      <c r="E143" s="68" t="s">
        <v>1591</v>
      </c>
      <c r="F143" s="68" t="s">
        <v>1592</v>
      </c>
      <c r="G143" s="68" t="s">
        <v>1308</v>
      </c>
      <c r="H143" s="68" t="s">
        <v>1487</v>
      </c>
      <c r="I143" s="68" t="s">
        <v>1087</v>
      </c>
    </row>
    <row r="144" spans="1:9" ht="13" x14ac:dyDescent="0.15">
      <c r="A144" s="68">
        <v>2</v>
      </c>
      <c r="B144" s="68">
        <v>6</v>
      </c>
      <c r="C144" s="68" t="s">
        <v>1584</v>
      </c>
      <c r="D144" s="68">
        <v>5</v>
      </c>
      <c r="E144" s="68" t="s">
        <v>1593</v>
      </c>
      <c r="F144" s="68" t="s">
        <v>1594</v>
      </c>
      <c r="G144" s="68" t="s">
        <v>1308</v>
      </c>
      <c r="H144" s="68" t="s">
        <v>1496</v>
      </c>
      <c r="I144" s="68" t="s">
        <v>1087</v>
      </c>
    </row>
    <row r="145" spans="1:9" ht="13" x14ac:dyDescent="0.15">
      <c r="A145" s="68">
        <v>2</v>
      </c>
      <c r="B145" s="68">
        <v>6</v>
      </c>
      <c r="C145" s="68" t="s">
        <v>1584</v>
      </c>
      <c r="D145" s="68">
        <v>6</v>
      </c>
      <c r="E145" s="68" t="s">
        <v>1595</v>
      </c>
      <c r="F145" s="68" t="s">
        <v>1596</v>
      </c>
      <c r="G145" s="68" t="s">
        <v>1308</v>
      </c>
      <c r="H145" s="68" t="s">
        <v>1496</v>
      </c>
      <c r="I145" s="68" t="s">
        <v>1087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I292"/>
  <sheetViews>
    <sheetView workbookViewId="0"/>
  </sheetViews>
  <sheetFormatPr baseColWidth="10" defaultColWidth="12.6640625" defaultRowHeight="15.75" customHeight="1" x14ac:dyDescent="0.15"/>
  <cols>
    <col min="3" max="3" width="66.6640625" customWidth="1"/>
  </cols>
  <sheetData>
    <row r="1" spans="1:9" ht="15.75" customHeight="1" x14ac:dyDescent="0.15">
      <c r="A1" s="68" t="s">
        <v>1060</v>
      </c>
      <c r="B1" s="68" t="s">
        <v>1061</v>
      </c>
      <c r="C1" s="68" t="s">
        <v>1062</v>
      </c>
      <c r="D1" s="68" t="s">
        <v>1063</v>
      </c>
      <c r="E1" s="68"/>
      <c r="F1" s="68" t="s">
        <v>1065</v>
      </c>
      <c r="G1" s="68" t="s">
        <v>1065</v>
      </c>
      <c r="H1" s="68" t="s">
        <v>1065</v>
      </c>
      <c r="I1" s="68" t="s">
        <v>1065</v>
      </c>
    </row>
    <row r="2" spans="1:9" ht="15.75" customHeight="1" x14ac:dyDescent="0.15">
      <c r="A2" s="68">
        <v>3</v>
      </c>
      <c r="B2" s="68">
        <v>7</v>
      </c>
      <c r="C2" s="68" t="s">
        <v>1597</v>
      </c>
      <c r="D2" s="68">
        <v>1</v>
      </c>
      <c r="E2" s="68" t="str">
        <f t="shared" ref="E2:E65" si="0">B2&amp;"::"&amp;C2&amp;"::"&amp;D2&amp;"::"&amp;F2</f>
        <v>7::Impact of technology – Collaborating online respectfully::1::- Create a memorable and secure password for an account on the school network</v>
      </c>
      <c r="F2" s="68" t="s">
        <v>1598</v>
      </c>
      <c r="G2" s="68" t="s">
        <v>1599</v>
      </c>
      <c r="H2" s="68" t="s">
        <v>1600</v>
      </c>
      <c r="I2" s="68" t="s">
        <v>60</v>
      </c>
    </row>
    <row r="3" spans="1:9" ht="15.75" customHeight="1" x14ac:dyDescent="0.15">
      <c r="A3" s="68">
        <v>3</v>
      </c>
      <c r="B3" s="68">
        <v>7</v>
      </c>
      <c r="C3" s="68" t="s">
        <v>1597</v>
      </c>
      <c r="D3" s="68">
        <v>1</v>
      </c>
      <c r="E3" s="68" t="str">
        <f t="shared" si="0"/>
        <v>7::Impact of technology – Collaborating online respectfully::1::- Remember the rules of the computing lab</v>
      </c>
      <c r="F3" s="68" t="s">
        <v>1601</v>
      </c>
      <c r="G3" s="68" t="s">
        <v>1599</v>
      </c>
      <c r="H3" s="68" t="s">
        <v>35</v>
      </c>
      <c r="I3" s="68" t="s">
        <v>60</v>
      </c>
    </row>
    <row r="4" spans="1:9" ht="15.75" customHeight="1" x14ac:dyDescent="0.15">
      <c r="A4" s="68">
        <v>3</v>
      </c>
      <c r="B4" s="68">
        <v>7</v>
      </c>
      <c r="C4" s="68" t="s">
        <v>1597</v>
      </c>
      <c r="D4" s="68">
        <v>2</v>
      </c>
      <c r="E4" s="68" t="str">
        <f t="shared" si="0"/>
        <v>7::Impact of technology – Collaborating online respectfully::2::- Find personal documents and common applications</v>
      </c>
      <c r="F4" s="68" t="s">
        <v>1602</v>
      </c>
      <c r="G4" s="68" t="s">
        <v>1599</v>
      </c>
      <c r="H4" s="68" t="s">
        <v>32</v>
      </c>
      <c r="I4" s="68" t="s">
        <v>60</v>
      </c>
    </row>
    <row r="5" spans="1:9" ht="15.75" customHeight="1" x14ac:dyDescent="0.15">
      <c r="A5" s="68">
        <v>3</v>
      </c>
      <c r="B5" s="68">
        <v>7</v>
      </c>
      <c r="C5" s="68" t="s">
        <v>1597</v>
      </c>
      <c r="D5" s="68">
        <v>2</v>
      </c>
      <c r="E5" s="68" t="str">
        <f t="shared" si="0"/>
        <v>7::Impact of technology – Collaborating online respectfully::2::- Recognise a respectful email</v>
      </c>
      <c r="F5" s="68" t="s">
        <v>1603</v>
      </c>
      <c r="G5" s="68" t="s">
        <v>1599</v>
      </c>
      <c r="H5" s="68" t="s">
        <v>1600</v>
      </c>
      <c r="I5" s="68" t="s">
        <v>60</v>
      </c>
    </row>
    <row r="6" spans="1:9" ht="15.75" customHeight="1" x14ac:dyDescent="0.15">
      <c r="A6" s="68">
        <v>3</v>
      </c>
      <c r="B6" s="68">
        <v>7</v>
      </c>
      <c r="C6" s="68" t="s">
        <v>1597</v>
      </c>
      <c r="D6" s="68">
        <v>2</v>
      </c>
      <c r="E6" s="68" t="str">
        <f t="shared" si="0"/>
        <v>7::Impact of technology – Collaborating online respectfully::2::- Construct an effective email and send it to the correct recipients</v>
      </c>
      <c r="F6" s="68" t="s">
        <v>1604</v>
      </c>
      <c r="G6" s="68" t="s">
        <v>1599</v>
      </c>
      <c r="H6" s="68" t="s">
        <v>32</v>
      </c>
      <c r="I6" s="68" t="s">
        <v>60</v>
      </c>
    </row>
    <row r="7" spans="1:9" ht="15.75" customHeight="1" x14ac:dyDescent="0.15">
      <c r="A7" s="68">
        <v>3</v>
      </c>
      <c r="B7" s="68">
        <v>7</v>
      </c>
      <c r="C7" s="68" t="s">
        <v>1597</v>
      </c>
      <c r="D7" s="68">
        <v>3</v>
      </c>
      <c r="E7" s="68" t="str">
        <f t="shared" si="0"/>
        <v>7::Impact of technology – Collaborating online respectfully::3::- Describe how to communicate with peers online</v>
      </c>
      <c r="F7" s="68" t="s">
        <v>1605</v>
      </c>
      <c r="G7" s="68" t="s">
        <v>1599</v>
      </c>
      <c r="H7" s="68" t="s">
        <v>1600</v>
      </c>
      <c r="I7" s="68" t="s">
        <v>60</v>
      </c>
    </row>
    <row r="8" spans="1:9" ht="15.75" customHeight="1" x14ac:dyDescent="0.15">
      <c r="A8" s="68">
        <v>3</v>
      </c>
      <c r="B8" s="68">
        <v>7</v>
      </c>
      <c r="C8" s="68" t="s">
        <v>1597</v>
      </c>
      <c r="D8" s="68">
        <v>4</v>
      </c>
      <c r="E8" s="68" t="str">
        <f t="shared" si="0"/>
        <v>7::Impact of technology – Collaborating online respectfully::4::- Plan effective presentations for a given audience</v>
      </c>
      <c r="F8" s="68" t="s">
        <v>1606</v>
      </c>
      <c r="G8" s="68" t="s">
        <v>1599</v>
      </c>
      <c r="H8" s="68" t="s">
        <v>1094</v>
      </c>
      <c r="I8" s="68" t="s">
        <v>60</v>
      </c>
    </row>
    <row r="9" spans="1:9" ht="15.75" customHeight="1" x14ac:dyDescent="0.15">
      <c r="A9" s="68">
        <v>3</v>
      </c>
      <c r="B9" s="68">
        <v>7</v>
      </c>
      <c r="C9" s="68" t="s">
        <v>1597</v>
      </c>
      <c r="D9" s="68">
        <v>4</v>
      </c>
      <c r="E9" s="68" t="str">
        <f t="shared" si="0"/>
        <v>7::Impact of technology – Collaborating online respectfully::4::- Describe cyberbullying</v>
      </c>
      <c r="F9" s="68" t="s">
        <v>1607</v>
      </c>
      <c r="G9" s="68" t="s">
        <v>1599</v>
      </c>
      <c r="H9" s="68" t="s">
        <v>1608</v>
      </c>
      <c r="I9" s="68" t="s">
        <v>60</v>
      </c>
    </row>
    <row r="10" spans="1:9" ht="15.75" customHeight="1" x14ac:dyDescent="0.15">
      <c r="A10" s="68">
        <v>3</v>
      </c>
      <c r="B10" s="68">
        <v>7</v>
      </c>
      <c r="C10" s="68" t="s">
        <v>1597</v>
      </c>
      <c r="D10" s="68">
        <v>4</v>
      </c>
      <c r="E10" s="68" t="str">
        <f t="shared" si="0"/>
        <v>7::Impact of technology – Collaborating online respectfully::4::- Explain the effects of cyberbullying</v>
      </c>
      <c r="F10" s="68" t="s">
        <v>1609</v>
      </c>
      <c r="G10" s="68" t="s">
        <v>1599</v>
      </c>
      <c r="H10" s="68" t="s">
        <v>1608</v>
      </c>
      <c r="I10" s="68" t="s">
        <v>60</v>
      </c>
    </row>
    <row r="11" spans="1:9" ht="15.75" customHeight="1" x14ac:dyDescent="0.15">
      <c r="A11" s="68">
        <v>3</v>
      </c>
      <c r="B11" s="68">
        <v>7</v>
      </c>
      <c r="C11" s="68" t="s">
        <v>1597</v>
      </c>
      <c r="D11" s="68">
        <v>5</v>
      </c>
      <c r="E11" s="68" t="str">
        <f t="shared" si="0"/>
        <v>7::Impact of technology – Collaborating online respectfully::5::- Plan effective presentations for a given audience</v>
      </c>
      <c r="F11" s="68" t="s">
        <v>1606</v>
      </c>
      <c r="G11" s="68" t="s">
        <v>1599</v>
      </c>
      <c r="H11" s="68" t="s">
        <v>10</v>
      </c>
      <c r="I11" s="68" t="s">
        <v>60</v>
      </c>
    </row>
    <row r="12" spans="1:9" ht="15.75" customHeight="1" x14ac:dyDescent="0.15">
      <c r="A12" s="68">
        <v>3</v>
      </c>
      <c r="B12" s="68">
        <v>7</v>
      </c>
      <c r="C12" s="68" t="s">
        <v>1597</v>
      </c>
      <c r="D12" s="68">
        <v>5</v>
      </c>
      <c r="E12" s="68" t="str">
        <f t="shared" si="0"/>
        <v>7::Impact of technology – Collaborating online respectfully::5::- Describe cyberbullying</v>
      </c>
      <c r="F12" s="68" t="s">
        <v>1607</v>
      </c>
      <c r="G12" s="68" t="s">
        <v>1599</v>
      </c>
      <c r="H12" s="68" t="s">
        <v>35</v>
      </c>
      <c r="I12" s="68" t="s">
        <v>60</v>
      </c>
    </row>
    <row r="13" spans="1:9" ht="15.75" customHeight="1" x14ac:dyDescent="0.15">
      <c r="A13" s="68">
        <v>3</v>
      </c>
      <c r="B13" s="68">
        <v>7</v>
      </c>
      <c r="C13" s="68" t="s">
        <v>1597</v>
      </c>
      <c r="D13" s="68">
        <v>5</v>
      </c>
      <c r="E13" s="68" t="str">
        <f t="shared" si="0"/>
        <v>7::Impact of technology – Collaborating online respectfully::5::- Explain the effects of cyberbullying</v>
      </c>
      <c r="F13" s="68" t="s">
        <v>1609</v>
      </c>
      <c r="G13" s="68" t="s">
        <v>1599</v>
      </c>
      <c r="H13" s="68" t="s">
        <v>35</v>
      </c>
      <c r="I13" s="68" t="s">
        <v>60</v>
      </c>
    </row>
    <row r="14" spans="1:9" ht="15.75" customHeight="1" x14ac:dyDescent="0.15">
      <c r="A14" s="68">
        <v>3</v>
      </c>
      <c r="B14" s="68">
        <v>7</v>
      </c>
      <c r="C14" s="68" t="s">
        <v>1597</v>
      </c>
      <c r="D14" s="68">
        <v>6</v>
      </c>
      <c r="E14" s="68" t="str">
        <f t="shared" si="0"/>
        <v>7::Impact of technology – Collaborating online respectfully::6::- Check who you are talking to online</v>
      </c>
      <c r="F14" s="68" t="s">
        <v>1610</v>
      </c>
      <c r="G14" s="68" t="s">
        <v>1599</v>
      </c>
      <c r="H14" s="68" t="s">
        <v>1600</v>
      </c>
      <c r="I14" s="68" t="s">
        <v>60</v>
      </c>
    </row>
    <row r="15" spans="1:9" ht="15.75" customHeight="1" x14ac:dyDescent="0.15">
      <c r="A15" s="68">
        <v>3</v>
      </c>
      <c r="B15" s="68">
        <v>7</v>
      </c>
      <c r="C15" s="68" t="s">
        <v>1611</v>
      </c>
      <c r="D15" s="68">
        <v>1</v>
      </c>
      <c r="E15" s="68" t="str">
        <f t="shared" si="0"/>
        <v>7::Modelling data – Spreadsheets::1::- Identify columns, rows, cells, and cell references in spreadsheet software</v>
      </c>
      <c r="F15" s="68" t="s">
        <v>1612</v>
      </c>
      <c r="G15" s="68" t="s">
        <v>1613</v>
      </c>
      <c r="H15" s="68" t="s">
        <v>1208</v>
      </c>
      <c r="I15" s="68" t="s">
        <v>1087</v>
      </c>
    </row>
    <row r="16" spans="1:9" ht="15.75" customHeight="1" x14ac:dyDescent="0.15">
      <c r="A16" s="68">
        <v>3</v>
      </c>
      <c r="B16" s="68">
        <v>7</v>
      </c>
      <c r="C16" s="68" t="s">
        <v>1611</v>
      </c>
      <c r="D16" s="68">
        <v>1</v>
      </c>
      <c r="E16" s="68" t="str">
        <f t="shared" si="0"/>
        <v>7::Modelling data – Spreadsheets::1::- Use formatting techniques in a spreadsheet</v>
      </c>
      <c r="F16" s="68" t="s">
        <v>1614</v>
      </c>
      <c r="G16" s="68" t="s">
        <v>1613</v>
      </c>
      <c r="H16" s="68" t="s">
        <v>32</v>
      </c>
      <c r="I16" s="68" t="s">
        <v>1087</v>
      </c>
    </row>
    <row r="17" spans="1:9" ht="15.75" customHeight="1" x14ac:dyDescent="0.15">
      <c r="A17" s="68">
        <v>3</v>
      </c>
      <c r="B17" s="68">
        <v>7</v>
      </c>
      <c r="C17" s="68" t="s">
        <v>1611</v>
      </c>
      <c r="D17" s="68">
        <v>2</v>
      </c>
      <c r="E17" s="68" t="str">
        <f t="shared" si="0"/>
        <v>7::Modelling data – Spreadsheets::2::- Use basic formulas with cell references to perform calculations in a spreadsheet (+, -, *, /)</v>
      </c>
      <c r="F17" s="68" t="s">
        <v>1615</v>
      </c>
      <c r="G17" s="68" t="s">
        <v>1613</v>
      </c>
      <c r="H17" s="68" t="s">
        <v>1564</v>
      </c>
      <c r="I17" s="68" t="s">
        <v>1087</v>
      </c>
    </row>
    <row r="18" spans="1:9" ht="15.75" customHeight="1" x14ac:dyDescent="0.15">
      <c r="A18" s="68">
        <v>3</v>
      </c>
      <c r="B18" s="68">
        <v>7</v>
      </c>
      <c r="C18" s="68" t="s">
        <v>1611</v>
      </c>
      <c r="D18" s="68">
        <v>2</v>
      </c>
      <c r="E18" s="68" t="str">
        <f t="shared" si="0"/>
        <v>7::Modelling data – Spreadsheets::2::- Use the autofill tool to replicate cell data</v>
      </c>
      <c r="F18" s="68" t="s">
        <v>1616</v>
      </c>
      <c r="G18" s="68" t="s">
        <v>1613</v>
      </c>
      <c r="H18" s="68" t="s">
        <v>1208</v>
      </c>
      <c r="I18" s="68" t="s">
        <v>1087</v>
      </c>
    </row>
    <row r="19" spans="1:9" ht="15.75" customHeight="1" x14ac:dyDescent="0.15">
      <c r="A19" s="68">
        <v>3</v>
      </c>
      <c r="B19" s="68">
        <v>7</v>
      </c>
      <c r="C19" s="68" t="s">
        <v>1611</v>
      </c>
      <c r="D19" s="68">
        <v>3</v>
      </c>
      <c r="E19" s="68" t="str">
        <f t="shared" si="0"/>
        <v>7::Modelling data – Spreadsheets::3::- Explain the difference between data and information</v>
      </c>
      <c r="F19" s="68" t="s">
        <v>1617</v>
      </c>
      <c r="G19" s="68" t="s">
        <v>1613</v>
      </c>
      <c r="H19" s="68" t="s">
        <v>13</v>
      </c>
      <c r="I19" s="68" t="s">
        <v>1087</v>
      </c>
    </row>
    <row r="20" spans="1:9" ht="15.75" customHeight="1" x14ac:dyDescent="0.15">
      <c r="A20" s="68">
        <v>3</v>
      </c>
      <c r="B20" s="68">
        <v>7</v>
      </c>
      <c r="C20" s="68" t="s">
        <v>1611</v>
      </c>
      <c r="D20" s="68">
        <v>3</v>
      </c>
      <c r="E20" s="68" t="str">
        <f t="shared" si="0"/>
        <v>7::Modelling data – Spreadsheets::3::- Explain the difference between primary and secondary sources of data</v>
      </c>
      <c r="F20" s="68" t="s">
        <v>1618</v>
      </c>
      <c r="G20" s="68" t="s">
        <v>1613</v>
      </c>
      <c r="H20" s="68" t="s">
        <v>13</v>
      </c>
      <c r="I20" s="68" t="s">
        <v>1087</v>
      </c>
    </row>
    <row r="21" spans="1:9" ht="15.75" customHeight="1" x14ac:dyDescent="0.15">
      <c r="A21" s="68">
        <v>3</v>
      </c>
      <c r="B21" s="68">
        <v>7</v>
      </c>
      <c r="C21" s="68" t="s">
        <v>1611</v>
      </c>
      <c r="D21" s="68">
        <v>3</v>
      </c>
      <c r="E21" s="68" t="str">
        <f t="shared" si="0"/>
        <v>7::Modelling data – Spreadsheets::3::- Collect data</v>
      </c>
      <c r="F21" s="68" t="s">
        <v>1619</v>
      </c>
      <c r="G21" s="68" t="s">
        <v>1613</v>
      </c>
      <c r="H21" s="68" t="s">
        <v>1208</v>
      </c>
      <c r="I21" s="68" t="s">
        <v>1087</v>
      </c>
    </row>
    <row r="22" spans="1:9" ht="15.75" customHeight="1" x14ac:dyDescent="0.15">
      <c r="A22" s="68">
        <v>3</v>
      </c>
      <c r="B22" s="68">
        <v>7</v>
      </c>
      <c r="C22" s="68" t="s">
        <v>1611</v>
      </c>
      <c r="D22" s="68">
        <v>4</v>
      </c>
      <c r="E22" s="68" t="str">
        <f t="shared" si="0"/>
        <v>7::Modelling data – Spreadsheets::4::- Analyse data</v>
      </c>
      <c r="F22" s="68" t="s">
        <v>1620</v>
      </c>
      <c r="G22" s="68" t="s">
        <v>1613</v>
      </c>
      <c r="H22" s="68" t="s">
        <v>1208</v>
      </c>
      <c r="I22" s="68" t="s">
        <v>1087</v>
      </c>
    </row>
    <row r="23" spans="1:9" ht="15.75" customHeight="1" x14ac:dyDescent="0.15">
      <c r="A23" s="68">
        <v>3</v>
      </c>
      <c r="B23" s="68">
        <v>7</v>
      </c>
      <c r="C23" s="68" t="s">
        <v>1611</v>
      </c>
      <c r="D23" s="68">
        <v>4</v>
      </c>
      <c r="E23" s="68" t="str">
        <f t="shared" si="0"/>
        <v>7::Modelling data – Spreadsheets::4::- Create appropriate charts in a spreadsheet</v>
      </c>
      <c r="F23" s="68" t="s">
        <v>1621</v>
      </c>
      <c r="G23" s="68" t="s">
        <v>1613</v>
      </c>
      <c r="H23" s="68" t="s">
        <v>1208</v>
      </c>
      <c r="I23" s="68" t="s">
        <v>1087</v>
      </c>
    </row>
    <row r="24" spans="1:9" ht="15.75" customHeight="1" x14ac:dyDescent="0.15">
      <c r="A24" s="68">
        <v>3</v>
      </c>
      <c r="B24" s="68">
        <v>7</v>
      </c>
      <c r="C24" s="68" t="s">
        <v>1611</v>
      </c>
      <c r="D24" s="68">
        <v>4</v>
      </c>
      <c r="E24" s="68" t="str">
        <f t="shared" si="0"/>
        <v>7::Modelling data – Spreadsheets::4::- Use the functions SUM, COUNTA, MAX, and MIN in a spreadsheet</v>
      </c>
      <c r="F24" s="68" t="s">
        <v>1622</v>
      </c>
      <c r="G24" s="68" t="s">
        <v>1613</v>
      </c>
      <c r="H24" s="68" t="s">
        <v>1564</v>
      </c>
      <c r="I24" s="68" t="s">
        <v>1087</v>
      </c>
    </row>
    <row r="25" spans="1:9" ht="15.75" customHeight="1" x14ac:dyDescent="0.15">
      <c r="A25" s="68">
        <v>3</v>
      </c>
      <c r="B25" s="68">
        <v>7</v>
      </c>
      <c r="C25" s="68" t="s">
        <v>1611</v>
      </c>
      <c r="D25" s="68">
        <v>5</v>
      </c>
      <c r="E25" s="68" t="str">
        <f t="shared" si="0"/>
        <v>7::Modelling data – Spreadsheets::5::- Analyse data</v>
      </c>
      <c r="F25" s="68" t="s">
        <v>1620</v>
      </c>
      <c r="G25" s="68" t="s">
        <v>1613</v>
      </c>
      <c r="H25" s="68" t="s">
        <v>1208</v>
      </c>
      <c r="I25" s="68" t="s">
        <v>1087</v>
      </c>
    </row>
    <row r="26" spans="1:9" ht="15.75" customHeight="1" x14ac:dyDescent="0.15">
      <c r="A26" s="68">
        <v>3</v>
      </c>
      <c r="B26" s="68">
        <v>7</v>
      </c>
      <c r="C26" s="68" t="s">
        <v>1611</v>
      </c>
      <c r="D26" s="68">
        <v>5</v>
      </c>
      <c r="E26" s="68" t="str">
        <f t="shared" si="0"/>
        <v>7::Modelling data – Spreadsheets::5::- Use a spreadsheet to sort and filter data</v>
      </c>
      <c r="F26" s="68" t="s">
        <v>1623</v>
      </c>
      <c r="G26" s="68" t="s">
        <v>1613</v>
      </c>
      <c r="H26" s="68" t="s">
        <v>1208</v>
      </c>
      <c r="I26" s="68" t="s">
        <v>1087</v>
      </c>
    </row>
    <row r="27" spans="1:9" ht="15.75" customHeight="1" x14ac:dyDescent="0.15">
      <c r="A27" s="68">
        <v>3</v>
      </c>
      <c r="B27" s="68">
        <v>7</v>
      </c>
      <c r="C27" s="68" t="s">
        <v>1611</v>
      </c>
      <c r="D27" s="68">
        <v>5</v>
      </c>
      <c r="E27" s="68" t="str">
        <f t="shared" si="0"/>
        <v>7::Modelling data – Spreadsheets::5::- Use the functions AVERAGE, COUNTIF, and IF in a spreadsheet</v>
      </c>
      <c r="F27" s="68" t="s">
        <v>1624</v>
      </c>
      <c r="G27" s="68" t="s">
        <v>1613</v>
      </c>
      <c r="H27" s="68" t="s">
        <v>1564</v>
      </c>
      <c r="I27" s="68" t="s">
        <v>1087</v>
      </c>
    </row>
    <row r="28" spans="1:9" ht="15.75" customHeight="1" x14ac:dyDescent="0.15">
      <c r="A28" s="68">
        <v>3</v>
      </c>
      <c r="B28" s="68">
        <v>7</v>
      </c>
      <c r="C28" s="68" t="s">
        <v>1611</v>
      </c>
      <c r="D28" s="68">
        <v>6</v>
      </c>
      <c r="E28" s="68" t="str">
        <f t="shared" si="0"/>
        <v>7::Modelling data – Spreadsheets::6::- Use conditional formatting in a spreadsheet</v>
      </c>
      <c r="F28" s="68" t="s">
        <v>1625</v>
      </c>
      <c r="G28" s="68" t="s">
        <v>1613</v>
      </c>
      <c r="H28" s="68" t="s">
        <v>1564</v>
      </c>
      <c r="I28" s="68" t="s">
        <v>1087</v>
      </c>
    </row>
    <row r="29" spans="1:9" ht="15.75" customHeight="1" x14ac:dyDescent="0.15">
      <c r="A29" s="68">
        <v>3</v>
      </c>
      <c r="B29" s="68">
        <v>7</v>
      </c>
      <c r="C29" s="68" t="s">
        <v>1611</v>
      </c>
      <c r="D29" s="68">
        <v>6</v>
      </c>
      <c r="E29" s="68" t="str">
        <f t="shared" si="0"/>
        <v>7::Modelling data – Spreadsheets::6::- Apply all of the spreadsheet skills covered in this unit</v>
      </c>
      <c r="F29" s="68" t="s">
        <v>1626</v>
      </c>
      <c r="G29" s="68" t="s">
        <v>1613</v>
      </c>
      <c r="H29" s="68" t="s">
        <v>1564</v>
      </c>
      <c r="I29" s="68" t="s">
        <v>1087</v>
      </c>
    </row>
    <row r="30" spans="1:9" ht="15.75" customHeight="1" x14ac:dyDescent="0.15">
      <c r="A30" s="68">
        <v>3</v>
      </c>
      <c r="B30" s="68">
        <v>7</v>
      </c>
      <c r="C30" s="68" t="s">
        <v>1627</v>
      </c>
      <c r="D30" s="68">
        <v>1</v>
      </c>
      <c r="E30" s="68" t="str">
        <f t="shared" si="0"/>
        <v>7::Networks from semaphores to the Internet::1::- Define what a computer network is and explain how data is transmitted between computers across networks</v>
      </c>
      <c r="F30" s="68" t="s">
        <v>1628</v>
      </c>
      <c r="G30" s="68">
        <v>3.5</v>
      </c>
      <c r="H30" s="68" t="s">
        <v>7</v>
      </c>
      <c r="I30" s="68" t="s">
        <v>52</v>
      </c>
    </row>
    <row r="31" spans="1:9" ht="15.75" customHeight="1" x14ac:dyDescent="0.15">
      <c r="A31" s="68">
        <v>3</v>
      </c>
      <c r="B31" s="68">
        <v>7</v>
      </c>
      <c r="C31" s="68" t="s">
        <v>1627</v>
      </c>
      <c r="D31" s="68">
        <v>1</v>
      </c>
      <c r="E31" s="68" t="str">
        <f t="shared" si="0"/>
        <v>7::Networks from semaphores to the Internet::1::- Define ‘protocol’ and provide examples of non-networking protocols</v>
      </c>
      <c r="F31" s="68" t="s">
        <v>1629</v>
      </c>
      <c r="G31" s="68">
        <v>3.5</v>
      </c>
      <c r="H31" s="68" t="s">
        <v>7</v>
      </c>
      <c r="I31" s="68" t="s">
        <v>52</v>
      </c>
    </row>
    <row r="32" spans="1:9" ht="15.75" customHeight="1" x14ac:dyDescent="0.15">
      <c r="A32" s="68">
        <v>3</v>
      </c>
      <c r="B32" s="68">
        <v>7</v>
      </c>
      <c r="C32" s="68" t="s">
        <v>1627</v>
      </c>
      <c r="D32" s="68">
        <v>2</v>
      </c>
      <c r="E32" s="68" t="str">
        <f t="shared" si="0"/>
        <v>7::Networks from semaphores to the Internet::2::- List examples of the hardware necessary for connecting devices to networks</v>
      </c>
      <c r="F32" s="68" t="s">
        <v>1630</v>
      </c>
      <c r="G32" s="68">
        <v>3.5</v>
      </c>
      <c r="H32" s="68" t="s">
        <v>1256</v>
      </c>
      <c r="I32" s="68" t="s">
        <v>52</v>
      </c>
    </row>
    <row r="33" spans="1:9" ht="15.75" customHeight="1" x14ac:dyDescent="0.15">
      <c r="A33" s="68">
        <v>3</v>
      </c>
      <c r="B33" s="68">
        <v>7</v>
      </c>
      <c r="C33" s="68" t="s">
        <v>1627</v>
      </c>
      <c r="D33" s="68">
        <v>3</v>
      </c>
      <c r="E33" s="68" t="str">
        <f t="shared" si="0"/>
        <v>7::Networks from semaphores to the Internet::3::- Compare wired to wireless connections and list examples of specific technologies currently used to implement such connections</v>
      </c>
      <c r="F33" s="68" t="s">
        <v>1631</v>
      </c>
      <c r="G33" s="68">
        <v>3.5</v>
      </c>
      <c r="H33" s="68" t="s">
        <v>1256</v>
      </c>
      <c r="I33" s="68" t="s">
        <v>52</v>
      </c>
    </row>
    <row r="34" spans="1:9" ht="15.75" customHeight="1" x14ac:dyDescent="0.15">
      <c r="A34" s="68">
        <v>3</v>
      </c>
      <c r="B34" s="68">
        <v>7</v>
      </c>
      <c r="C34" s="68" t="s">
        <v>1627</v>
      </c>
      <c r="D34" s="68">
        <v>3</v>
      </c>
      <c r="E34" s="68" t="str">
        <f t="shared" si="0"/>
        <v>7::Networks from semaphores to the Internet::3::- Define ‘bandwidth’, using the appropriate units for measuring the rate at which data is transmitted, and discuss familiar examples where bandwidth is important</v>
      </c>
      <c r="F34" s="68" t="s">
        <v>1632</v>
      </c>
      <c r="G34" s="68">
        <v>3.5</v>
      </c>
      <c r="H34" s="68" t="s">
        <v>7</v>
      </c>
      <c r="I34" s="68" t="s">
        <v>52</v>
      </c>
    </row>
    <row r="35" spans="1:9" ht="15.75" customHeight="1" x14ac:dyDescent="0.15">
      <c r="A35" s="68">
        <v>3</v>
      </c>
      <c r="B35" s="68">
        <v>7</v>
      </c>
      <c r="C35" s="68" t="s">
        <v>1627</v>
      </c>
      <c r="D35" s="68">
        <v>4</v>
      </c>
      <c r="E35" s="68" t="str">
        <f t="shared" si="0"/>
        <v>7::Networks from semaphores to the Internet::4::- Define what the internet is</v>
      </c>
      <c r="F35" s="68" t="s">
        <v>1633</v>
      </c>
      <c r="G35" s="68">
        <v>3.5</v>
      </c>
      <c r="H35" s="68" t="s">
        <v>7</v>
      </c>
      <c r="I35" s="68" t="s">
        <v>52</v>
      </c>
    </row>
    <row r="36" spans="1:9" ht="15.75" customHeight="1" x14ac:dyDescent="0.15">
      <c r="A36" s="68">
        <v>3</v>
      </c>
      <c r="B36" s="68">
        <v>7</v>
      </c>
      <c r="C36" s="68" t="s">
        <v>1627</v>
      </c>
      <c r="D36" s="68">
        <v>4</v>
      </c>
      <c r="E36" s="68" t="str">
        <f t="shared" si="0"/>
        <v>7::Networks from semaphores to the Internet::4::- Explain how data travels between computers across the internet</v>
      </c>
      <c r="F36" s="68" t="s">
        <v>1634</v>
      </c>
      <c r="G36" s="68">
        <v>3.5</v>
      </c>
      <c r="H36" s="68" t="s">
        <v>7</v>
      </c>
      <c r="I36" s="68" t="s">
        <v>52</v>
      </c>
    </row>
    <row r="37" spans="1:9" ht="15.75" customHeight="1" x14ac:dyDescent="0.15">
      <c r="A37" s="68">
        <v>3</v>
      </c>
      <c r="B37" s="68">
        <v>7</v>
      </c>
      <c r="C37" s="68" t="s">
        <v>1627</v>
      </c>
      <c r="D37" s="68">
        <v>4</v>
      </c>
      <c r="E37" s="68" t="str">
        <f t="shared" si="0"/>
        <v>7::Networks from semaphores to the Internet::4::- Describe key words such as ‘protocols’, ‘packets’, and ‘addressing’</v>
      </c>
      <c r="F37" s="68" t="s">
        <v>1635</v>
      </c>
      <c r="G37" s="68">
        <v>3.5</v>
      </c>
      <c r="H37" s="68" t="s">
        <v>7</v>
      </c>
      <c r="I37" s="68" t="s">
        <v>52</v>
      </c>
    </row>
    <row r="38" spans="1:9" ht="15.75" customHeight="1" x14ac:dyDescent="0.15">
      <c r="A38" s="68">
        <v>3</v>
      </c>
      <c r="B38" s="68">
        <v>7</v>
      </c>
      <c r="C38" s="68" t="s">
        <v>1627</v>
      </c>
      <c r="D38" s="68">
        <v>5</v>
      </c>
      <c r="E38" s="68" t="str">
        <f t="shared" si="0"/>
        <v>7::Networks from semaphores to the Internet::5::- Explain the difference between the internet, its services, and the World Wide Web</v>
      </c>
      <c r="F38" s="68" t="s">
        <v>1636</v>
      </c>
      <c r="G38" s="68">
        <v>3.5</v>
      </c>
      <c r="H38" s="68" t="s">
        <v>7</v>
      </c>
      <c r="I38" s="68" t="s">
        <v>52</v>
      </c>
    </row>
    <row r="39" spans="1:9" ht="15.75" customHeight="1" x14ac:dyDescent="0.15">
      <c r="A39" s="68">
        <v>3</v>
      </c>
      <c r="B39" s="68">
        <v>7</v>
      </c>
      <c r="C39" s="68" t="s">
        <v>1627</v>
      </c>
      <c r="D39" s="68">
        <v>5</v>
      </c>
      <c r="E39" s="68" t="str">
        <f t="shared" si="0"/>
        <v>7::Networks from semaphores to the Internet::5::- Describe how services are provided over the internet</v>
      </c>
      <c r="F39" s="68" t="s">
        <v>1637</v>
      </c>
      <c r="G39" s="68">
        <v>3.5</v>
      </c>
      <c r="H39" s="68" t="s">
        <v>7</v>
      </c>
      <c r="I39" s="68" t="s">
        <v>52</v>
      </c>
    </row>
    <row r="40" spans="1:9" ht="15.75" customHeight="1" x14ac:dyDescent="0.15">
      <c r="A40" s="68">
        <v>3</v>
      </c>
      <c r="B40" s="68">
        <v>7</v>
      </c>
      <c r="C40" s="68" t="s">
        <v>1627</v>
      </c>
      <c r="D40" s="68">
        <v>5</v>
      </c>
      <c r="E40" s="68" t="str">
        <f t="shared" si="0"/>
        <v>7::Networks from semaphores to the Internet::5::- List some of these services and the context in which they are used</v>
      </c>
      <c r="F40" s="68" t="s">
        <v>1638</v>
      </c>
      <c r="G40" s="68">
        <v>3.5</v>
      </c>
      <c r="H40" s="68" t="s">
        <v>7</v>
      </c>
      <c r="I40" s="68" t="s">
        <v>52</v>
      </c>
    </row>
    <row r="41" spans="1:9" ht="15.75" customHeight="1" x14ac:dyDescent="0.15">
      <c r="A41" s="68">
        <v>3</v>
      </c>
      <c r="B41" s="68">
        <v>7</v>
      </c>
      <c r="C41" s="68" t="s">
        <v>1627</v>
      </c>
      <c r="D41" s="68">
        <v>5</v>
      </c>
      <c r="E41" s="68" t="str">
        <f t="shared" si="0"/>
        <v>7::Networks from semaphores to the Internet::5::- Explain the term ‘connectivity’ as the capacity for connected devices (‘Internet of Things’) to collect and share information about me with or without my knowledge (including microphones, cameras, and geolocation)</v>
      </c>
      <c r="F41" s="68" t="s">
        <v>1639</v>
      </c>
      <c r="G41" s="68">
        <v>3.5</v>
      </c>
      <c r="H41" s="68" t="s">
        <v>7</v>
      </c>
      <c r="I41" s="68" t="s">
        <v>52</v>
      </c>
    </row>
    <row r="42" spans="1:9" ht="15.75" customHeight="1" x14ac:dyDescent="0.15">
      <c r="A42" s="68">
        <v>3</v>
      </c>
      <c r="B42" s="68">
        <v>7</v>
      </c>
      <c r="C42" s="68" t="s">
        <v>1627</v>
      </c>
      <c r="D42" s="68">
        <v>5</v>
      </c>
      <c r="E42" s="68" t="str">
        <f t="shared" si="0"/>
        <v>7::Networks from semaphores to the Internet::5::- Describe how internet-connected devices can affect me</v>
      </c>
      <c r="F42" s="68" t="s">
        <v>1640</v>
      </c>
      <c r="G42" s="68">
        <v>3.5</v>
      </c>
      <c r="H42" s="68" t="s">
        <v>1351</v>
      </c>
      <c r="I42" s="68" t="s">
        <v>52</v>
      </c>
    </row>
    <row r="43" spans="1:9" ht="15.75" customHeight="1" x14ac:dyDescent="0.15">
      <c r="A43" s="68">
        <v>3</v>
      </c>
      <c r="B43" s="68">
        <v>7</v>
      </c>
      <c r="C43" s="68" t="s">
        <v>1627</v>
      </c>
      <c r="D43" s="68">
        <v>6</v>
      </c>
      <c r="E43" s="68" t="str">
        <f t="shared" si="0"/>
        <v>7::Networks from semaphores to the Internet::6::- Describe components (servers, browsers, pages, HTTP and HTTPS protocols, etc.) and how they work together</v>
      </c>
      <c r="F43" s="68" t="s">
        <v>1641</v>
      </c>
      <c r="G43" s="68">
        <v>3.5</v>
      </c>
      <c r="H43" s="68" t="s">
        <v>7</v>
      </c>
      <c r="I43" s="68" t="s">
        <v>52</v>
      </c>
    </row>
    <row r="44" spans="1:9" ht="15.75" customHeight="1" x14ac:dyDescent="0.15">
      <c r="A44" s="68">
        <v>3</v>
      </c>
      <c r="B44" s="68">
        <v>7</v>
      </c>
      <c r="C44" s="68" t="s">
        <v>1642</v>
      </c>
      <c r="D44" s="68">
        <v>1</v>
      </c>
      <c r="E44" s="68" t="str">
        <f t="shared" si="0"/>
        <v>7::Programming essentials in Scratch – part I::1::- Compare how humans and computers understand instructions (understand and carry out)</v>
      </c>
      <c r="F44" s="68" t="s">
        <v>1643</v>
      </c>
      <c r="G44" s="68" t="s">
        <v>1644</v>
      </c>
      <c r="H44" s="68" t="s">
        <v>25</v>
      </c>
      <c r="I44" s="68" t="s">
        <v>1087</v>
      </c>
    </row>
    <row r="45" spans="1:9" ht="15.75" customHeight="1" x14ac:dyDescent="0.15">
      <c r="A45" s="68">
        <v>3</v>
      </c>
      <c r="B45" s="68">
        <v>7</v>
      </c>
      <c r="C45" s="68" t="s">
        <v>1642</v>
      </c>
      <c r="D45" s="68">
        <v>1</v>
      </c>
      <c r="E45" s="68" t="str">
        <f t="shared" si="0"/>
        <v>7::Programming essentials in Scratch – part I::1::- Define a sequence as instructions performed in order, with each executed in turn</v>
      </c>
      <c r="F45" s="68" t="s">
        <v>1645</v>
      </c>
      <c r="G45" s="68" t="s">
        <v>1644</v>
      </c>
      <c r="H45" s="68" t="s">
        <v>25</v>
      </c>
      <c r="I45" s="68" t="s">
        <v>1087</v>
      </c>
    </row>
    <row r="46" spans="1:9" ht="15.75" customHeight="1" x14ac:dyDescent="0.15">
      <c r="A46" s="68">
        <v>3</v>
      </c>
      <c r="B46" s="68">
        <v>7</v>
      </c>
      <c r="C46" s="68" t="s">
        <v>1642</v>
      </c>
      <c r="D46" s="68">
        <v>1</v>
      </c>
      <c r="E46" s="68" t="str">
        <f t="shared" si="0"/>
        <v>7::Programming essentials in Scratch – part I::1::- Predict the outcome of a simple sequence</v>
      </c>
      <c r="F46" s="68" t="s">
        <v>1646</v>
      </c>
      <c r="G46" s="68" t="s">
        <v>1644</v>
      </c>
      <c r="H46" s="68" t="s">
        <v>1225</v>
      </c>
      <c r="I46" s="68" t="s">
        <v>1087</v>
      </c>
    </row>
    <row r="47" spans="1:9" ht="15.75" customHeight="1" x14ac:dyDescent="0.15">
      <c r="A47" s="68">
        <v>3</v>
      </c>
      <c r="B47" s="68">
        <v>7</v>
      </c>
      <c r="C47" s="68" t="s">
        <v>1642</v>
      </c>
      <c r="D47" s="68">
        <v>1</v>
      </c>
      <c r="E47" s="68" t="str">
        <f t="shared" si="0"/>
        <v>7::Programming essentials in Scratch – part I::1::- Modify a sequence</v>
      </c>
      <c r="F47" s="68" t="s">
        <v>1647</v>
      </c>
      <c r="G47" s="68" t="s">
        <v>1644</v>
      </c>
      <c r="H47" s="68" t="s">
        <v>1225</v>
      </c>
      <c r="I47" s="68" t="s">
        <v>1087</v>
      </c>
    </row>
    <row r="48" spans="1:9" ht="15.75" customHeight="1" x14ac:dyDescent="0.15">
      <c r="A48" s="68">
        <v>3</v>
      </c>
      <c r="B48" s="68">
        <v>7</v>
      </c>
      <c r="C48" s="68" t="s">
        <v>1642</v>
      </c>
      <c r="D48" s="68">
        <v>2</v>
      </c>
      <c r="E48" s="68" t="str">
        <f t="shared" si="0"/>
        <v>7::Programming essentials in Scratch – part I::2::- Define a variable as a name that refers to data being stored by the computer</v>
      </c>
      <c r="F48" s="68" t="s">
        <v>1648</v>
      </c>
      <c r="G48" s="68" t="s">
        <v>1644</v>
      </c>
      <c r="H48" s="68" t="s">
        <v>1225</v>
      </c>
      <c r="I48" s="68" t="s">
        <v>1087</v>
      </c>
    </row>
    <row r="49" spans="1:9" ht="15.75" customHeight="1" x14ac:dyDescent="0.15">
      <c r="A49" s="68">
        <v>3</v>
      </c>
      <c r="B49" s="68">
        <v>7</v>
      </c>
      <c r="C49" s="68" t="s">
        <v>1642</v>
      </c>
      <c r="D49" s="68">
        <v>2</v>
      </c>
      <c r="E49" s="68" t="str">
        <f t="shared" si="0"/>
        <v>7::Programming essentials in Scratch – part I::2::- Recognise that computers follow the control flow of input/process/output</v>
      </c>
      <c r="F49" s="68" t="s">
        <v>1649</v>
      </c>
      <c r="G49" s="68" t="s">
        <v>1644</v>
      </c>
      <c r="H49" s="68" t="s">
        <v>1225</v>
      </c>
      <c r="I49" s="68" t="s">
        <v>1087</v>
      </c>
    </row>
    <row r="50" spans="1:9" ht="15.75" customHeight="1" x14ac:dyDescent="0.15">
      <c r="A50" s="68">
        <v>3</v>
      </c>
      <c r="B50" s="68">
        <v>7</v>
      </c>
      <c r="C50" s="68" t="s">
        <v>1642</v>
      </c>
      <c r="D50" s="68">
        <v>2</v>
      </c>
      <c r="E50" s="68" t="str">
        <f t="shared" si="0"/>
        <v>7::Programming essentials in Scratch – part I::2::- Predict the outcome of a simple sequence that includes variables</v>
      </c>
      <c r="F50" s="68" t="s">
        <v>1650</v>
      </c>
      <c r="G50" s="68" t="s">
        <v>1644</v>
      </c>
      <c r="H50" s="68" t="s">
        <v>1225</v>
      </c>
      <c r="I50" s="68" t="s">
        <v>1087</v>
      </c>
    </row>
    <row r="51" spans="1:9" ht="13" x14ac:dyDescent="0.15">
      <c r="A51" s="68">
        <v>3</v>
      </c>
      <c r="B51" s="68">
        <v>7</v>
      </c>
      <c r="C51" s="68" t="s">
        <v>1642</v>
      </c>
      <c r="D51" s="68">
        <v>2</v>
      </c>
      <c r="E51" s="68" t="str">
        <f t="shared" si="0"/>
        <v>7::Programming essentials in Scratch – part I::2::- Trace the values of variables within a sequence</v>
      </c>
      <c r="F51" s="68" t="s">
        <v>1651</v>
      </c>
      <c r="G51" s="68" t="s">
        <v>1644</v>
      </c>
      <c r="H51" s="68" t="s">
        <v>1225</v>
      </c>
      <c r="I51" s="68" t="s">
        <v>1087</v>
      </c>
    </row>
    <row r="52" spans="1:9" ht="13" x14ac:dyDescent="0.15">
      <c r="A52" s="68">
        <v>3</v>
      </c>
      <c r="B52" s="68">
        <v>7</v>
      </c>
      <c r="C52" s="68" t="s">
        <v>1642</v>
      </c>
      <c r="D52" s="68">
        <v>2</v>
      </c>
      <c r="E52" s="68" t="str">
        <f t="shared" si="0"/>
        <v>7::Programming essentials in Scratch – part I::2::- Make a sequence that includes a variable</v>
      </c>
      <c r="F52" s="68" t="s">
        <v>1652</v>
      </c>
      <c r="G52" s="68" t="s">
        <v>1644</v>
      </c>
      <c r="H52" s="68" t="s">
        <v>1225</v>
      </c>
      <c r="I52" s="68" t="s">
        <v>1087</v>
      </c>
    </row>
    <row r="53" spans="1:9" ht="13" x14ac:dyDescent="0.15">
      <c r="A53" s="68">
        <v>3</v>
      </c>
      <c r="B53" s="68">
        <v>7</v>
      </c>
      <c r="C53" s="68" t="s">
        <v>1642</v>
      </c>
      <c r="D53" s="68">
        <v>3</v>
      </c>
      <c r="E53" s="68" t="str">
        <f t="shared" si="0"/>
        <v>7::Programming essentials in Scratch – part I::3::- Define a condition as an expression that will be evaluated as either true or false</v>
      </c>
      <c r="F53" s="68" t="s">
        <v>1653</v>
      </c>
      <c r="G53" s="68" t="s">
        <v>1644</v>
      </c>
      <c r="H53" s="68" t="s">
        <v>1225</v>
      </c>
      <c r="I53" s="68" t="s">
        <v>1087</v>
      </c>
    </row>
    <row r="54" spans="1:9" ht="13" x14ac:dyDescent="0.15">
      <c r="A54" s="68">
        <v>3</v>
      </c>
      <c r="B54" s="68">
        <v>7</v>
      </c>
      <c r="C54" s="68" t="s">
        <v>1642</v>
      </c>
      <c r="D54" s="68">
        <v>3</v>
      </c>
      <c r="E54" s="68" t="str">
        <f t="shared" si="0"/>
        <v>7::Programming essentials in Scratch – part I::3::- Identify that selection uses conditions to control the flow of a sequence</v>
      </c>
      <c r="F54" s="68" t="s">
        <v>1654</v>
      </c>
      <c r="G54" s="68" t="s">
        <v>1644</v>
      </c>
      <c r="H54" s="68" t="s">
        <v>1225</v>
      </c>
      <c r="I54" s="68" t="s">
        <v>1087</v>
      </c>
    </row>
    <row r="55" spans="1:9" ht="13" x14ac:dyDescent="0.15">
      <c r="A55" s="68">
        <v>3</v>
      </c>
      <c r="B55" s="68">
        <v>7</v>
      </c>
      <c r="C55" s="68" t="s">
        <v>1642</v>
      </c>
      <c r="D55" s="68">
        <v>3</v>
      </c>
      <c r="E55" s="68" t="str">
        <f t="shared" si="0"/>
        <v>7::Programming essentials in Scratch – part I::3::- Identify where selection statements can be used in a program</v>
      </c>
      <c r="F55" s="68" t="s">
        <v>1655</v>
      </c>
      <c r="G55" s="68" t="s">
        <v>1644</v>
      </c>
      <c r="H55" s="68" t="s">
        <v>1225</v>
      </c>
      <c r="I55" s="68" t="s">
        <v>1087</v>
      </c>
    </row>
    <row r="56" spans="1:9" ht="13" x14ac:dyDescent="0.15">
      <c r="A56" s="68">
        <v>3</v>
      </c>
      <c r="B56" s="68">
        <v>7</v>
      </c>
      <c r="C56" s="68" t="s">
        <v>1642</v>
      </c>
      <c r="D56" s="68">
        <v>3</v>
      </c>
      <c r="E56" s="68" t="str">
        <f t="shared" si="0"/>
        <v>7::Programming essentials in Scratch – part I::3::- Modify a program to include selection</v>
      </c>
      <c r="F56" s="68" t="s">
        <v>1656</v>
      </c>
      <c r="G56" s="68" t="s">
        <v>1644</v>
      </c>
      <c r="H56" s="68" t="s">
        <v>1225</v>
      </c>
      <c r="I56" s="68" t="s">
        <v>1087</v>
      </c>
    </row>
    <row r="57" spans="1:9" ht="13" x14ac:dyDescent="0.15">
      <c r="A57" s="68">
        <v>3</v>
      </c>
      <c r="B57" s="68">
        <v>7</v>
      </c>
      <c r="C57" s="68" t="s">
        <v>1642</v>
      </c>
      <c r="D57" s="68">
        <v>4</v>
      </c>
      <c r="E57" s="68" t="str">
        <f t="shared" si="0"/>
        <v>7::Programming essentials in Scratch – part I::4::- Create conditions that use comparison operators (&gt;,&lt;,=)</v>
      </c>
      <c r="F57" s="68" t="s">
        <v>1657</v>
      </c>
      <c r="G57" s="68" t="s">
        <v>1644</v>
      </c>
      <c r="H57" s="68" t="s">
        <v>1225</v>
      </c>
      <c r="I57" s="68" t="s">
        <v>1087</v>
      </c>
    </row>
    <row r="58" spans="1:9" ht="13" x14ac:dyDescent="0.15">
      <c r="A58" s="68">
        <v>3</v>
      </c>
      <c r="B58" s="68">
        <v>7</v>
      </c>
      <c r="C58" s="68" t="s">
        <v>1642</v>
      </c>
      <c r="D58" s="68">
        <v>4</v>
      </c>
      <c r="E58" s="68" t="str">
        <f t="shared" si="0"/>
        <v>7::Programming essentials in Scratch – part I::4::- Create conditions that use logic operators (and/or/not)</v>
      </c>
      <c r="F58" s="68" t="s">
        <v>1658</v>
      </c>
      <c r="G58" s="68" t="s">
        <v>1644</v>
      </c>
      <c r="H58" s="68" t="s">
        <v>1225</v>
      </c>
      <c r="I58" s="68" t="s">
        <v>1087</v>
      </c>
    </row>
    <row r="59" spans="1:9" ht="13" x14ac:dyDescent="0.15">
      <c r="A59" s="68">
        <v>3</v>
      </c>
      <c r="B59" s="68">
        <v>7</v>
      </c>
      <c r="C59" s="68" t="s">
        <v>1642</v>
      </c>
      <c r="D59" s="68">
        <v>4</v>
      </c>
      <c r="E59" s="68" t="str">
        <f t="shared" si="0"/>
        <v>7::Programming essentials in Scratch – part I::4::- Identify where selection statements can be used in a program that include comparison and logical operators</v>
      </c>
      <c r="F59" s="68" t="s">
        <v>1659</v>
      </c>
      <c r="G59" s="68" t="s">
        <v>1644</v>
      </c>
      <c r="H59" s="68" t="s">
        <v>1225</v>
      </c>
      <c r="I59" s="68" t="s">
        <v>1087</v>
      </c>
    </row>
    <row r="60" spans="1:9" ht="13" x14ac:dyDescent="0.15">
      <c r="A60" s="68">
        <v>3</v>
      </c>
      <c r="B60" s="68">
        <v>7</v>
      </c>
      <c r="C60" s="68" t="s">
        <v>1642</v>
      </c>
      <c r="D60" s="68">
        <v>5</v>
      </c>
      <c r="E60" s="68" t="str">
        <f t="shared" si="0"/>
        <v>7::Programming essentials in Scratch – part I::5::- Define iteration as a group of instructions that are repeatedly executed</v>
      </c>
      <c r="F60" s="68" t="s">
        <v>1660</v>
      </c>
      <c r="G60" s="68" t="s">
        <v>1644</v>
      </c>
      <c r="H60" s="68" t="s">
        <v>1225</v>
      </c>
      <c r="I60" s="68" t="s">
        <v>1087</v>
      </c>
    </row>
    <row r="61" spans="1:9" ht="13" x14ac:dyDescent="0.15">
      <c r="A61" s="68">
        <v>3</v>
      </c>
      <c r="B61" s="68">
        <v>7</v>
      </c>
      <c r="C61" s="68" t="s">
        <v>1642</v>
      </c>
      <c r="D61" s="68">
        <v>5</v>
      </c>
      <c r="E61" s="68" t="str">
        <f t="shared" si="0"/>
        <v>7::Programming essentials in Scratch – part I::5::- Describe the need for iteration</v>
      </c>
      <c r="F61" s="68" t="s">
        <v>1661</v>
      </c>
      <c r="G61" s="68" t="s">
        <v>1644</v>
      </c>
      <c r="H61" s="68" t="s">
        <v>1225</v>
      </c>
      <c r="I61" s="68" t="s">
        <v>1087</v>
      </c>
    </row>
    <row r="62" spans="1:9" ht="13" x14ac:dyDescent="0.15">
      <c r="A62" s="68">
        <v>3</v>
      </c>
      <c r="B62" s="68">
        <v>7</v>
      </c>
      <c r="C62" s="68" t="s">
        <v>1642</v>
      </c>
      <c r="D62" s="68">
        <v>5</v>
      </c>
      <c r="E62" s="68" t="str">
        <f t="shared" si="0"/>
        <v>7::Programming essentials in Scratch – part I::5::- Identify where count-controlled iteration can be used in a program</v>
      </c>
      <c r="F62" s="68" t="s">
        <v>1662</v>
      </c>
      <c r="G62" s="68" t="s">
        <v>1644</v>
      </c>
      <c r="H62" s="68" t="s">
        <v>1225</v>
      </c>
      <c r="I62" s="68" t="s">
        <v>1087</v>
      </c>
    </row>
    <row r="63" spans="1:9" ht="13" x14ac:dyDescent="0.15">
      <c r="A63" s="68">
        <v>3</v>
      </c>
      <c r="B63" s="68">
        <v>7</v>
      </c>
      <c r="C63" s="68" t="s">
        <v>1642</v>
      </c>
      <c r="D63" s="68">
        <v>5</v>
      </c>
      <c r="E63" s="68" t="str">
        <f t="shared" si="0"/>
        <v>7::Programming essentials in Scratch – part I::5::- Implement count-controlled iteration in a program</v>
      </c>
      <c r="F63" s="68" t="s">
        <v>1663</v>
      </c>
      <c r="G63" s="68" t="s">
        <v>1644</v>
      </c>
      <c r="H63" s="68" t="s">
        <v>1225</v>
      </c>
      <c r="I63" s="68" t="s">
        <v>1087</v>
      </c>
    </row>
    <row r="64" spans="1:9" ht="13" x14ac:dyDescent="0.15">
      <c r="A64" s="68">
        <v>3</v>
      </c>
      <c r="B64" s="68">
        <v>7</v>
      </c>
      <c r="C64" s="68" t="s">
        <v>1642</v>
      </c>
      <c r="D64" s="68">
        <v>5</v>
      </c>
      <c r="E64" s="68" t="str">
        <f t="shared" si="0"/>
        <v>7::Programming essentials in Scratch – part I::5::- Detect and correct errors in a program (debugging)</v>
      </c>
      <c r="F64" s="68" t="s">
        <v>1664</v>
      </c>
      <c r="G64" s="68" t="s">
        <v>1644</v>
      </c>
      <c r="H64" s="68" t="s">
        <v>1225</v>
      </c>
      <c r="I64" s="68" t="s">
        <v>1087</v>
      </c>
    </row>
    <row r="65" spans="1:9" ht="13" x14ac:dyDescent="0.15">
      <c r="A65" s="68">
        <v>3</v>
      </c>
      <c r="B65" s="68">
        <v>7</v>
      </c>
      <c r="C65" s="68" t="s">
        <v>1642</v>
      </c>
      <c r="D65" s="68">
        <v>6</v>
      </c>
      <c r="E65" s="68" t="str">
        <f t="shared" si="0"/>
        <v>7::Programming essentials in Scratch – part I::6::- Independently design and apply programming constructs to solve a problem (subroutine, selection, count-controlled iteration, operators, and variables)</v>
      </c>
      <c r="F65" s="68" t="s">
        <v>1665</v>
      </c>
      <c r="G65" s="68" t="s">
        <v>1644</v>
      </c>
      <c r="H65" s="68" t="s">
        <v>1157</v>
      </c>
      <c r="I65" s="68" t="s">
        <v>1087</v>
      </c>
    </row>
    <row r="66" spans="1:9" ht="13" x14ac:dyDescent="0.15">
      <c r="A66" s="68">
        <v>3</v>
      </c>
      <c r="B66" s="68">
        <v>7</v>
      </c>
      <c r="C66" s="68" t="s">
        <v>1666</v>
      </c>
      <c r="D66" s="68">
        <v>7</v>
      </c>
      <c r="E66" s="68" t="str">
        <f t="shared" ref="E66:E129" si="1">B66&amp;"::"&amp;C66&amp;"::"&amp;D66&amp;"::"&amp;F66</f>
        <v>7::Programming essentials in Scratch – part II::7::- Define a subroutine as a group of instructions that will run when called by the main program or other subroutines</v>
      </c>
      <c r="F66" s="68" t="s">
        <v>1667</v>
      </c>
      <c r="G66" s="68" t="s">
        <v>1644</v>
      </c>
      <c r="H66" s="68" t="s">
        <v>1225</v>
      </c>
      <c r="I66" s="68" t="s">
        <v>1087</v>
      </c>
    </row>
    <row r="67" spans="1:9" ht="13" x14ac:dyDescent="0.15">
      <c r="A67" s="68">
        <v>3</v>
      </c>
      <c r="B67" s="68">
        <v>7</v>
      </c>
      <c r="C67" s="68" t="s">
        <v>1666</v>
      </c>
      <c r="D67" s="68">
        <v>7</v>
      </c>
      <c r="E67" s="68" t="str">
        <f t="shared" si="1"/>
        <v>7::Programming essentials in Scratch – part II::7::- Define decomposition as breaking a problem down into smaller, more manageable subproblems</v>
      </c>
      <c r="F67" s="68" t="s">
        <v>1668</v>
      </c>
      <c r="G67" s="68" t="s">
        <v>1644</v>
      </c>
      <c r="H67" s="68" t="s">
        <v>1225</v>
      </c>
      <c r="I67" s="68" t="s">
        <v>1087</v>
      </c>
    </row>
    <row r="68" spans="1:9" ht="13" x14ac:dyDescent="0.15">
      <c r="A68" s="68">
        <v>3</v>
      </c>
      <c r="B68" s="68">
        <v>7</v>
      </c>
      <c r="C68" s="68" t="s">
        <v>1666</v>
      </c>
      <c r="D68" s="68">
        <v>7</v>
      </c>
      <c r="E68" s="68" t="str">
        <f t="shared" si="1"/>
        <v>7::Programming essentials in Scratch – part II::7::- Identify how subroutines can be used for decomposition</v>
      </c>
      <c r="F68" s="68" t="s">
        <v>1669</v>
      </c>
      <c r="G68" s="68" t="s">
        <v>1644</v>
      </c>
      <c r="H68" s="68" t="s">
        <v>1225</v>
      </c>
      <c r="I68" s="68" t="s">
        <v>1087</v>
      </c>
    </row>
    <row r="69" spans="1:9" ht="13" x14ac:dyDescent="0.15">
      <c r="A69" s="68">
        <v>3</v>
      </c>
      <c r="B69" s="68">
        <v>7</v>
      </c>
      <c r="C69" s="68" t="s">
        <v>1666</v>
      </c>
      <c r="D69" s="68">
        <v>8</v>
      </c>
      <c r="E69" s="68" t="str">
        <f t="shared" si="1"/>
        <v>7::Programming essentials in Scratch – part II::8::- Identify where condition-controlled iteration can be used in a program</v>
      </c>
      <c r="F69" s="68" t="s">
        <v>1670</v>
      </c>
      <c r="G69" s="68" t="s">
        <v>1644</v>
      </c>
      <c r="H69" s="68" t="s">
        <v>1225</v>
      </c>
      <c r="I69" s="68" t="s">
        <v>1087</v>
      </c>
    </row>
    <row r="70" spans="1:9" ht="13" x14ac:dyDescent="0.15">
      <c r="A70" s="68">
        <v>3</v>
      </c>
      <c r="B70" s="68">
        <v>7</v>
      </c>
      <c r="C70" s="68" t="s">
        <v>1666</v>
      </c>
      <c r="D70" s="68">
        <v>8</v>
      </c>
      <c r="E70" s="68" t="str">
        <f t="shared" si="1"/>
        <v>7::Programming essentials in Scratch – part II::8::- Implement condition-controlled iteration in a program</v>
      </c>
      <c r="F70" s="68" t="s">
        <v>1671</v>
      </c>
      <c r="G70" s="68" t="s">
        <v>1644</v>
      </c>
      <c r="H70" s="68" t="s">
        <v>1225</v>
      </c>
      <c r="I70" s="68" t="s">
        <v>1087</v>
      </c>
    </row>
    <row r="71" spans="1:9" ht="13" x14ac:dyDescent="0.15">
      <c r="A71" s="68">
        <v>3</v>
      </c>
      <c r="B71" s="68">
        <v>7</v>
      </c>
      <c r="C71" s="68" t="s">
        <v>1666</v>
      </c>
      <c r="D71" s="68">
        <v>9</v>
      </c>
      <c r="E71" s="68" t="str">
        <f t="shared" si="1"/>
        <v>7::Programming essentials in Scratch – part II::9::- Evaluate which type of iteration is required in a program</v>
      </c>
      <c r="F71" s="68" t="s">
        <v>1672</v>
      </c>
      <c r="G71" s="68" t="s">
        <v>1644</v>
      </c>
      <c r="H71" s="68" t="s">
        <v>1225</v>
      </c>
      <c r="I71" s="68" t="s">
        <v>1087</v>
      </c>
    </row>
    <row r="72" spans="1:9" ht="13" x14ac:dyDescent="0.15">
      <c r="A72" s="68">
        <v>3</v>
      </c>
      <c r="B72" s="68">
        <v>7</v>
      </c>
      <c r="C72" s="68" t="s">
        <v>1666</v>
      </c>
      <c r="D72" s="68">
        <v>10</v>
      </c>
      <c r="E72" s="68" t="str">
        <f t="shared" si="1"/>
        <v>7::Programming essentials in Scratch – part II::10::- Define a list as a collection of related elements that are referred to by a single name</v>
      </c>
      <c r="F72" s="68" t="s">
        <v>1673</v>
      </c>
      <c r="G72" s="68" t="s">
        <v>1644</v>
      </c>
      <c r="H72" s="68" t="s">
        <v>1225</v>
      </c>
      <c r="I72" s="68" t="s">
        <v>1087</v>
      </c>
    </row>
    <row r="73" spans="1:9" ht="13" x14ac:dyDescent="0.15">
      <c r="A73" s="68">
        <v>3</v>
      </c>
      <c r="B73" s="68">
        <v>7</v>
      </c>
      <c r="C73" s="68" t="s">
        <v>1666</v>
      </c>
      <c r="D73" s="68">
        <v>10</v>
      </c>
      <c r="E73" s="68" t="str">
        <f t="shared" si="1"/>
        <v>7::Programming essentials in Scratch – part II::10::- Describe the need for lists</v>
      </c>
      <c r="F73" s="68" t="s">
        <v>1674</v>
      </c>
      <c r="G73" s="68" t="s">
        <v>1644</v>
      </c>
      <c r="H73" s="68" t="s">
        <v>1225</v>
      </c>
      <c r="I73" s="68" t="s">
        <v>1087</v>
      </c>
    </row>
    <row r="74" spans="1:9" ht="13" x14ac:dyDescent="0.15">
      <c r="A74" s="68">
        <v>3</v>
      </c>
      <c r="B74" s="68">
        <v>7</v>
      </c>
      <c r="C74" s="68" t="s">
        <v>1666</v>
      </c>
      <c r="D74" s="68">
        <v>10</v>
      </c>
      <c r="E74" s="68" t="str">
        <f t="shared" si="1"/>
        <v>7::Programming essentials in Scratch – part II::10::- Identify when lists can be used in a program</v>
      </c>
      <c r="F74" s="68" t="s">
        <v>1675</v>
      </c>
      <c r="G74" s="68" t="s">
        <v>1644</v>
      </c>
      <c r="H74" s="68" t="s">
        <v>1225</v>
      </c>
      <c r="I74" s="68" t="s">
        <v>1087</v>
      </c>
    </row>
    <row r="75" spans="1:9" ht="13" x14ac:dyDescent="0.15">
      <c r="A75" s="68">
        <v>3</v>
      </c>
      <c r="B75" s="68">
        <v>7</v>
      </c>
      <c r="C75" s="68" t="s">
        <v>1666</v>
      </c>
      <c r="D75" s="68">
        <v>10</v>
      </c>
      <c r="E75" s="68" t="str">
        <f t="shared" si="1"/>
        <v>7::Programming essentials in Scratch – part II::10::- Use a list</v>
      </c>
      <c r="F75" s="68" t="s">
        <v>1676</v>
      </c>
      <c r="G75" s="68" t="s">
        <v>1644</v>
      </c>
      <c r="H75" s="68" t="s">
        <v>1225</v>
      </c>
      <c r="I75" s="68" t="s">
        <v>1087</v>
      </c>
    </row>
    <row r="76" spans="1:9" ht="13" x14ac:dyDescent="0.15">
      <c r="A76" s="68">
        <v>3</v>
      </c>
      <c r="B76" s="68">
        <v>7</v>
      </c>
      <c r="C76" s="68" t="s">
        <v>1666</v>
      </c>
      <c r="D76" s="68">
        <v>11</v>
      </c>
      <c r="E76" s="68" t="str">
        <f t="shared" si="1"/>
        <v>7::Programming essentials in Scratch – part II::11::- Decompose a larger problem into smaller subproblems</v>
      </c>
      <c r="F76" s="68" t="s">
        <v>1677</v>
      </c>
      <c r="G76" s="68" t="s">
        <v>1644</v>
      </c>
      <c r="H76" s="68" t="s">
        <v>1225</v>
      </c>
      <c r="I76" s="68" t="s">
        <v>1087</v>
      </c>
    </row>
    <row r="77" spans="1:9" ht="13" x14ac:dyDescent="0.15">
      <c r="A77" s="68">
        <v>3</v>
      </c>
      <c r="B77" s="68">
        <v>7</v>
      </c>
      <c r="C77" s="68" t="s">
        <v>1666</v>
      </c>
      <c r="D77" s="68">
        <v>11</v>
      </c>
      <c r="E77" s="68" t="str">
        <f t="shared" si="1"/>
        <v>7::Programming essentials in Scratch – part II::11::- Apply appropriate constructs to solve a problem</v>
      </c>
      <c r="F77" s="68" t="s">
        <v>1678</v>
      </c>
      <c r="G77" s="68" t="s">
        <v>1644</v>
      </c>
      <c r="H77" s="68" t="s">
        <v>1225</v>
      </c>
      <c r="I77" s="68" t="s">
        <v>1087</v>
      </c>
    </row>
    <row r="78" spans="1:9" ht="13" x14ac:dyDescent="0.15">
      <c r="A78" s="68">
        <v>3</v>
      </c>
      <c r="B78" s="68">
        <v>7</v>
      </c>
      <c r="C78" s="68" t="s">
        <v>1666</v>
      </c>
      <c r="D78" s="68">
        <v>12</v>
      </c>
      <c r="E78" s="68" t="str">
        <f t="shared" si="1"/>
        <v>7::Programming essentials in Scratch – part II::12::- Decompose a larger problem into smaller subproblems</v>
      </c>
      <c r="F78" s="68" t="s">
        <v>1677</v>
      </c>
      <c r="G78" s="68" t="s">
        <v>1644</v>
      </c>
      <c r="H78" s="68" t="s">
        <v>1225</v>
      </c>
      <c r="I78" s="68" t="s">
        <v>1087</v>
      </c>
    </row>
    <row r="79" spans="1:9" ht="13" x14ac:dyDescent="0.15">
      <c r="A79" s="68">
        <v>3</v>
      </c>
      <c r="B79" s="68">
        <v>7</v>
      </c>
      <c r="C79" s="68" t="s">
        <v>1666</v>
      </c>
      <c r="D79" s="68">
        <v>12</v>
      </c>
      <c r="E79" s="68" t="str">
        <f t="shared" si="1"/>
        <v>7::Programming essentials in Scratch – part II::12::- Apply appropriate constructs to solve a problem</v>
      </c>
      <c r="F79" s="68" t="s">
        <v>1678</v>
      </c>
      <c r="G79" s="68" t="s">
        <v>1644</v>
      </c>
      <c r="H79" s="68" t="s">
        <v>1157</v>
      </c>
      <c r="I79" s="68" t="s">
        <v>1087</v>
      </c>
    </row>
    <row r="80" spans="1:9" ht="13" x14ac:dyDescent="0.15">
      <c r="A80" s="68">
        <v>3</v>
      </c>
      <c r="B80" s="68">
        <v>7</v>
      </c>
      <c r="C80" s="68" t="s">
        <v>1679</v>
      </c>
      <c r="D80" s="68">
        <v>1</v>
      </c>
      <c r="E80" s="68" t="str">
        <f t="shared" si="1"/>
        <v>7::Using media – Gaining support for a cause::1::- Select the most appropriate software to use to complete a task</v>
      </c>
      <c r="F80" s="68" t="s">
        <v>1680</v>
      </c>
      <c r="G80" s="68" t="s">
        <v>1681</v>
      </c>
      <c r="H80" s="68" t="s">
        <v>32</v>
      </c>
      <c r="I80" s="68" t="s">
        <v>55</v>
      </c>
    </row>
    <row r="81" spans="1:9" ht="13" x14ac:dyDescent="0.15">
      <c r="A81" s="68">
        <v>3</v>
      </c>
      <c r="B81" s="68">
        <v>7</v>
      </c>
      <c r="C81" s="68" t="s">
        <v>1679</v>
      </c>
      <c r="D81" s="68">
        <v>1</v>
      </c>
      <c r="E81" s="68" t="str">
        <f t="shared" si="1"/>
        <v>7::Using media – Gaining support for a cause::1::- Identify the key features of a word processor</v>
      </c>
      <c r="F81" s="68" t="s">
        <v>1682</v>
      </c>
      <c r="G81" s="68" t="s">
        <v>1681</v>
      </c>
      <c r="H81" s="68" t="s">
        <v>32</v>
      </c>
      <c r="I81" s="68" t="s">
        <v>55</v>
      </c>
    </row>
    <row r="82" spans="1:9" ht="13" x14ac:dyDescent="0.15">
      <c r="A82" s="68">
        <v>3</v>
      </c>
      <c r="B82" s="68">
        <v>7</v>
      </c>
      <c r="C82" s="68" t="s">
        <v>1679</v>
      </c>
      <c r="D82" s="68">
        <v>1</v>
      </c>
      <c r="E82" s="68" t="str">
        <f t="shared" si="1"/>
        <v>7::Using media – Gaining support for a cause::1::- Apply the key features of a word processor to format a document</v>
      </c>
      <c r="F82" s="68" t="s">
        <v>1683</v>
      </c>
      <c r="G82" s="68" t="s">
        <v>1681</v>
      </c>
      <c r="H82" s="68" t="s">
        <v>1086</v>
      </c>
      <c r="I82" s="68" t="s">
        <v>55</v>
      </c>
    </row>
    <row r="83" spans="1:9" ht="13" x14ac:dyDescent="0.15">
      <c r="A83" s="68">
        <v>3</v>
      </c>
      <c r="B83" s="68">
        <v>7</v>
      </c>
      <c r="C83" s="68" t="s">
        <v>1679</v>
      </c>
      <c r="D83" s="68">
        <v>1</v>
      </c>
      <c r="E83" s="68" t="str">
        <f t="shared" si="1"/>
        <v>7::Using media – Gaining support for a cause::1::- Evaluate formatting techniques to understand why we format documents</v>
      </c>
      <c r="F83" s="68" t="s">
        <v>1684</v>
      </c>
      <c r="G83" s="68" t="s">
        <v>1681</v>
      </c>
      <c r="H83" s="68" t="s">
        <v>1685</v>
      </c>
      <c r="I83" s="68" t="s">
        <v>55</v>
      </c>
    </row>
    <row r="84" spans="1:9" ht="13" x14ac:dyDescent="0.15">
      <c r="A84" s="68">
        <v>3</v>
      </c>
      <c r="B84" s="68">
        <v>7</v>
      </c>
      <c r="C84" s="68" t="s">
        <v>1679</v>
      </c>
      <c r="D84" s="68">
        <v>2</v>
      </c>
      <c r="E84" s="68" t="str">
        <f t="shared" si="1"/>
        <v>7::Using media – Gaining support for a cause::2::- Select appropriate images for a given context</v>
      </c>
      <c r="F84" s="68" t="s">
        <v>1686</v>
      </c>
      <c r="G84" s="68" t="s">
        <v>1681</v>
      </c>
      <c r="H84" s="68" t="s">
        <v>1086</v>
      </c>
      <c r="I84" s="68" t="s">
        <v>55</v>
      </c>
    </row>
    <row r="85" spans="1:9" ht="13" x14ac:dyDescent="0.15">
      <c r="A85" s="68">
        <v>3</v>
      </c>
      <c r="B85" s="68">
        <v>7</v>
      </c>
      <c r="C85" s="68" t="s">
        <v>1679</v>
      </c>
      <c r="D85" s="68">
        <v>2</v>
      </c>
      <c r="E85" s="68" t="str">
        <f t="shared" si="1"/>
        <v>7::Using media – Gaining support for a cause::2::- Apply appropriate formatting techniques</v>
      </c>
      <c r="F85" s="68" t="s">
        <v>1687</v>
      </c>
      <c r="G85" s="68" t="s">
        <v>1681</v>
      </c>
      <c r="H85" s="68" t="s">
        <v>1086</v>
      </c>
      <c r="I85" s="68" t="s">
        <v>55</v>
      </c>
    </row>
    <row r="86" spans="1:9" ht="13" x14ac:dyDescent="0.15">
      <c r="A86" s="68">
        <v>3</v>
      </c>
      <c r="B86" s="68">
        <v>7</v>
      </c>
      <c r="C86" s="68" t="s">
        <v>1679</v>
      </c>
      <c r="D86" s="68">
        <v>2</v>
      </c>
      <c r="E86" s="68" t="str">
        <f t="shared" si="1"/>
        <v>7::Using media – Gaining support for a cause::2::- Demonstrate an understanding of licensing issues involving online content by applying appropriate Creative Commons licences</v>
      </c>
      <c r="F86" s="68" t="s">
        <v>1688</v>
      </c>
      <c r="G86" s="68" t="s">
        <v>1681</v>
      </c>
      <c r="H86" s="68" t="s">
        <v>22</v>
      </c>
      <c r="I86" s="68" t="s">
        <v>55</v>
      </c>
    </row>
    <row r="87" spans="1:9" ht="13" x14ac:dyDescent="0.15">
      <c r="A87" s="68">
        <v>3</v>
      </c>
      <c r="B87" s="68">
        <v>7</v>
      </c>
      <c r="C87" s="68" t="s">
        <v>1679</v>
      </c>
      <c r="D87" s="68">
        <v>2</v>
      </c>
      <c r="E87" s="68" t="str">
        <f t="shared" si="1"/>
        <v>7::Using media – Gaining support for a cause::2::- Demonstrate the ability to credit the original source of an image</v>
      </c>
      <c r="F87" s="68" t="s">
        <v>1689</v>
      </c>
      <c r="G87" s="68" t="s">
        <v>1681</v>
      </c>
      <c r="H87" s="68" t="s">
        <v>22</v>
      </c>
      <c r="I87" s="68" t="s">
        <v>55</v>
      </c>
    </row>
    <row r="88" spans="1:9" ht="13" x14ac:dyDescent="0.15">
      <c r="A88" s="68">
        <v>3</v>
      </c>
      <c r="B88" s="68">
        <v>7</v>
      </c>
      <c r="C88" s="68" t="s">
        <v>1679</v>
      </c>
      <c r="D88" s="68">
        <v>3</v>
      </c>
      <c r="E88" s="68" t="str">
        <f t="shared" si="1"/>
        <v>7::Using media – Gaining support for a cause::3::- Critique digital content for credibility</v>
      </c>
      <c r="F88" s="68" t="s">
        <v>1690</v>
      </c>
      <c r="G88" s="68" t="s">
        <v>1681</v>
      </c>
      <c r="H88" s="68" t="s">
        <v>22</v>
      </c>
      <c r="I88" s="68" t="s">
        <v>55</v>
      </c>
    </row>
    <row r="89" spans="1:9" ht="13" x14ac:dyDescent="0.15">
      <c r="A89" s="68">
        <v>3</v>
      </c>
      <c r="B89" s="68">
        <v>7</v>
      </c>
      <c r="C89" s="68" t="s">
        <v>1679</v>
      </c>
      <c r="D89" s="68">
        <v>3</v>
      </c>
      <c r="E89" s="68" t="str">
        <f t="shared" si="1"/>
        <v>7::Using media – Gaining support for a cause::3::- Apply techniques in order to identify whether or not a source is credible</v>
      </c>
      <c r="F89" s="68" t="s">
        <v>1691</v>
      </c>
      <c r="G89" s="68" t="s">
        <v>1681</v>
      </c>
      <c r="H89" s="68" t="s">
        <v>22</v>
      </c>
      <c r="I89" s="68" t="s">
        <v>55</v>
      </c>
    </row>
    <row r="90" spans="1:9" ht="13" x14ac:dyDescent="0.15">
      <c r="A90" s="68">
        <v>3</v>
      </c>
      <c r="B90" s="68">
        <v>7</v>
      </c>
      <c r="C90" s="68" t="s">
        <v>1679</v>
      </c>
      <c r="D90" s="68">
        <v>4</v>
      </c>
      <c r="E90" s="68" t="str">
        <f t="shared" si="1"/>
        <v>7::Using media – Gaining support for a cause::4::- Apply referencing techniques and understand the concept of plagiarism</v>
      </c>
      <c r="F90" s="68" t="s">
        <v>1692</v>
      </c>
      <c r="G90" s="68" t="s">
        <v>1681</v>
      </c>
      <c r="H90" s="68" t="s">
        <v>22</v>
      </c>
      <c r="I90" s="68" t="s">
        <v>55</v>
      </c>
    </row>
    <row r="91" spans="1:9" ht="13" x14ac:dyDescent="0.15">
      <c r="A91" s="68">
        <v>3</v>
      </c>
      <c r="B91" s="68">
        <v>7</v>
      </c>
      <c r="C91" s="68" t="s">
        <v>1679</v>
      </c>
      <c r="D91" s="68">
        <v>4</v>
      </c>
      <c r="E91" s="68" t="str">
        <f t="shared" si="1"/>
        <v>7::Using media – Gaining support for a cause::4::- Evaluate online sources for use in own work</v>
      </c>
      <c r="F91" s="68" t="s">
        <v>1693</v>
      </c>
      <c r="G91" s="68" t="s">
        <v>1681</v>
      </c>
      <c r="H91" s="68" t="s">
        <v>1694</v>
      </c>
      <c r="I91" s="68" t="s">
        <v>55</v>
      </c>
    </row>
    <row r="92" spans="1:9" ht="13" x14ac:dyDescent="0.15">
      <c r="A92" s="68">
        <v>3</v>
      </c>
      <c r="B92" s="68">
        <v>7</v>
      </c>
      <c r="C92" s="68" t="s">
        <v>1679</v>
      </c>
      <c r="D92" s="68">
        <v>5</v>
      </c>
      <c r="E92" s="68" t="str">
        <f t="shared" si="1"/>
        <v>7::Using media – Gaining support for a cause::5::- Construct a blog using appropriate software</v>
      </c>
      <c r="F92" s="68" t="s">
        <v>1695</v>
      </c>
      <c r="G92" s="68" t="s">
        <v>1681</v>
      </c>
      <c r="H92" s="68" t="s">
        <v>1086</v>
      </c>
      <c r="I92" s="68" t="s">
        <v>55</v>
      </c>
    </row>
    <row r="93" spans="1:9" ht="13" x14ac:dyDescent="0.15">
      <c r="A93" s="68">
        <v>3</v>
      </c>
      <c r="B93" s="68">
        <v>7</v>
      </c>
      <c r="C93" s="68" t="s">
        <v>1679</v>
      </c>
      <c r="D93" s="68">
        <v>5</v>
      </c>
      <c r="E93" s="68" t="str">
        <f t="shared" si="1"/>
        <v>7::Using media – Gaining support for a cause::5::- Organise the content of the blog based on credible sources</v>
      </c>
      <c r="F93" s="68" t="s">
        <v>1696</v>
      </c>
      <c r="G93" s="68" t="s">
        <v>1681</v>
      </c>
      <c r="H93" s="68" t="s">
        <v>1374</v>
      </c>
      <c r="I93" s="68" t="s">
        <v>55</v>
      </c>
    </row>
    <row r="94" spans="1:9" ht="13" x14ac:dyDescent="0.15">
      <c r="A94" s="68">
        <v>3</v>
      </c>
      <c r="B94" s="68">
        <v>7</v>
      </c>
      <c r="C94" s="68" t="s">
        <v>1679</v>
      </c>
      <c r="D94" s="68">
        <v>5</v>
      </c>
      <c r="E94" s="68" t="str">
        <f t="shared" si="1"/>
        <v>7::Using media – Gaining support for a cause::5::- Apply referencing techniques that credit authors appropriately</v>
      </c>
      <c r="F94" s="68" t="s">
        <v>1697</v>
      </c>
      <c r="G94" s="68" t="s">
        <v>1681</v>
      </c>
      <c r="H94" s="68" t="s">
        <v>22</v>
      </c>
      <c r="I94" s="68" t="s">
        <v>55</v>
      </c>
    </row>
    <row r="95" spans="1:9" ht="13" x14ac:dyDescent="0.15">
      <c r="A95" s="68">
        <v>3</v>
      </c>
      <c r="B95" s="68">
        <v>7</v>
      </c>
      <c r="C95" s="68" t="s">
        <v>1679</v>
      </c>
      <c r="D95" s="68">
        <v>5</v>
      </c>
      <c r="E95" s="68" t="str">
        <f t="shared" si="1"/>
        <v>7::Using media – Gaining support for a cause::5::- Design the layout of the content to make it suitable for the audience</v>
      </c>
      <c r="F95" s="68" t="s">
        <v>1698</v>
      </c>
      <c r="G95" s="68" t="s">
        <v>1681</v>
      </c>
      <c r="H95" s="68" t="s">
        <v>1685</v>
      </c>
      <c r="I95" s="68" t="s">
        <v>55</v>
      </c>
    </row>
    <row r="96" spans="1:9" ht="13" x14ac:dyDescent="0.15">
      <c r="A96" s="68">
        <v>3</v>
      </c>
      <c r="B96" s="68">
        <v>7</v>
      </c>
      <c r="C96" s="68" t="s">
        <v>1679</v>
      </c>
      <c r="D96" s="68">
        <v>6</v>
      </c>
      <c r="E96" s="68" t="str">
        <f t="shared" si="1"/>
        <v>7::Using media – Gaining support for a cause::6::- Construct a blog using appropriate software</v>
      </c>
      <c r="F96" s="68" t="s">
        <v>1695</v>
      </c>
      <c r="G96" s="68" t="s">
        <v>1681</v>
      </c>
      <c r="H96" s="68" t="s">
        <v>1374</v>
      </c>
      <c r="I96" s="68" t="s">
        <v>55</v>
      </c>
    </row>
    <row r="97" spans="1:9" ht="13" x14ac:dyDescent="0.15">
      <c r="A97" s="68">
        <v>3</v>
      </c>
      <c r="B97" s="68">
        <v>7</v>
      </c>
      <c r="C97" s="68" t="s">
        <v>1679</v>
      </c>
      <c r="D97" s="68">
        <v>6</v>
      </c>
      <c r="E97" s="68" t="str">
        <f t="shared" si="1"/>
        <v>7::Using media – Gaining support for a cause::6::- Organise the content of blog based on credible sources</v>
      </c>
      <c r="F97" s="68" t="s">
        <v>1699</v>
      </c>
      <c r="G97" s="68" t="s">
        <v>1681</v>
      </c>
      <c r="H97" s="68" t="s">
        <v>1374</v>
      </c>
      <c r="I97" s="68" t="s">
        <v>55</v>
      </c>
    </row>
    <row r="98" spans="1:9" ht="13" x14ac:dyDescent="0.15">
      <c r="A98" s="68">
        <v>3</v>
      </c>
      <c r="B98" s="68">
        <v>7</v>
      </c>
      <c r="C98" s="68" t="s">
        <v>1679</v>
      </c>
      <c r="D98" s="68">
        <v>6</v>
      </c>
      <c r="E98" s="68" t="str">
        <f t="shared" si="1"/>
        <v>7::Using media – Gaining support for a cause::6::- Apply referencing techniques that credit authors appropriately</v>
      </c>
      <c r="F98" s="68" t="s">
        <v>1697</v>
      </c>
      <c r="G98" s="68" t="s">
        <v>1681</v>
      </c>
      <c r="H98" s="68" t="s">
        <v>1197</v>
      </c>
      <c r="I98" s="68" t="s">
        <v>55</v>
      </c>
    </row>
    <row r="99" spans="1:9" ht="13" x14ac:dyDescent="0.15">
      <c r="A99" s="68">
        <v>3</v>
      </c>
      <c r="B99" s="68">
        <v>7</v>
      </c>
      <c r="C99" s="68" t="s">
        <v>1679</v>
      </c>
      <c r="D99" s="68">
        <v>6</v>
      </c>
      <c r="E99" s="68" t="str">
        <f t="shared" si="1"/>
        <v>7::Using media – Gaining support for a cause::6::- Design the layout of the content to make it suitable for the audience</v>
      </c>
      <c r="F99" s="68" t="s">
        <v>1698</v>
      </c>
      <c r="G99" s="68" t="s">
        <v>1681</v>
      </c>
      <c r="H99" s="68" t="s">
        <v>1694</v>
      </c>
      <c r="I99" s="68" t="s">
        <v>55</v>
      </c>
    </row>
    <row r="100" spans="1:9" ht="13" x14ac:dyDescent="0.15">
      <c r="A100" s="68">
        <v>3</v>
      </c>
      <c r="B100" s="68">
        <v>8</v>
      </c>
      <c r="C100" s="68" t="s">
        <v>38</v>
      </c>
      <c r="D100" s="68">
        <v>1</v>
      </c>
      <c r="E100" s="68" t="str">
        <f t="shared" si="1"/>
        <v>8::Computing systems::1::- Recall that a general-purpose computing system is a device for executing programs</v>
      </c>
      <c r="F100" s="68" t="s">
        <v>1700</v>
      </c>
      <c r="G100" s="68" t="s">
        <v>1701</v>
      </c>
      <c r="H100" s="68" t="s">
        <v>19</v>
      </c>
      <c r="I100" s="68" t="s">
        <v>1087</v>
      </c>
    </row>
    <row r="101" spans="1:9" ht="13" x14ac:dyDescent="0.15">
      <c r="A101" s="68">
        <v>3</v>
      </c>
      <c r="B101" s="68">
        <v>8</v>
      </c>
      <c r="C101" s="68" t="s">
        <v>38</v>
      </c>
      <c r="D101" s="68">
        <v>1</v>
      </c>
      <c r="E101" s="68" t="str">
        <f t="shared" si="1"/>
        <v>8::Computing systems::1::- Recall that a program is a sequence of instructions that specify operations that are to be performed on data</v>
      </c>
      <c r="F101" s="68" t="s">
        <v>1702</v>
      </c>
      <c r="G101" s="68" t="s">
        <v>1701</v>
      </c>
      <c r="H101" s="68" t="s">
        <v>28</v>
      </c>
      <c r="I101" s="68" t="s">
        <v>1087</v>
      </c>
    </row>
    <row r="102" spans="1:9" ht="13" x14ac:dyDescent="0.15">
      <c r="A102" s="68">
        <v>3</v>
      </c>
      <c r="B102" s="68">
        <v>8</v>
      </c>
      <c r="C102" s="68" t="s">
        <v>38</v>
      </c>
      <c r="D102" s="68">
        <v>1</v>
      </c>
      <c r="E102" s="68" t="str">
        <f t="shared" si="1"/>
        <v>8::Computing systems::1::- Explain the difference between a general-purpose computing system and a purpose-built device</v>
      </c>
      <c r="F102" s="68" t="s">
        <v>1703</v>
      </c>
      <c r="G102" s="68" t="s">
        <v>1701</v>
      </c>
      <c r="H102" s="68" t="s">
        <v>19</v>
      </c>
      <c r="I102" s="68" t="s">
        <v>1087</v>
      </c>
    </row>
    <row r="103" spans="1:9" ht="13" x14ac:dyDescent="0.15">
      <c r="A103" s="68">
        <v>3</v>
      </c>
      <c r="B103" s="68">
        <v>8</v>
      </c>
      <c r="C103" s="68" t="s">
        <v>38</v>
      </c>
      <c r="D103" s="68">
        <v>2</v>
      </c>
      <c r="E103" s="68" t="str">
        <f t="shared" si="1"/>
        <v>8::Computing systems::2::- Describe the function of the hardware components used in computing systems</v>
      </c>
      <c r="F103" s="68" t="s">
        <v>1704</v>
      </c>
      <c r="G103" s="68" t="s">
        <v>1701</v>
      </c>
      <c r="H103" s="68" t="s">
        <v>19</v>
      </c>
      <c r="I103" s="68" t="s">
        <v>1087</v>
      </c>
    </row>
    <row r="104" spans="1:9" ht="13" x14ac:dyDescent="0.15">
      <c r="A104" s="68">
        <v>3</v>
      </c>
      <c r="B104" s="68">
        <v>8</v>
      </c>
      <c r="C104" s="68" t="s">
        <v>38</v>
      </c>
      <c r="D104" s="68">
        <v>2</v>
      </c>
      <c r="E104" s="68" t="str">
        <f t="shared" si="1"/>
        <v>8::Computing systems::2::- Describe how the hardware components used in computing systems work together in order to execute programs</v>
      </c>
      <c r="F104" s="68" t="s">
        <v>1705</v>
      </c>
      <c r="G104" s="68" t="s">
        <v>1701</v>
      </c>
      <c r="H104" s="68" t="s">
        <v>1487</v>
      </c>
      <c r="I104" s="68" t="s">
        <v>1087</v>
      </c>
    </row>
    <row r="105" spans="1:9" ht="13" x14ac:dyDescent="0.15">
      <c r="A105" s="68">
        <v>3</v>
      </c>
      <c r="B105" s="68">
        <v>8</v>
      </c>
      <c r="C105" s="68" t="s">
        <v>38</v>
      </c>
      <c r="D105" s="68">
        <v>2</v>
      </c>
      <c r="E105" s="68" t="str">
        <f t="shared" si="1"/>
        <v>8::Computing systems::2::- Recall that all computing systems, regardless of form, have a similar structure (‘architecture’)</v>
      </c>
      <c r="F105" s="68" t="s">
        <v>1706</v>
      </c>
      <c r="G105" s="68" t="s">
        <v>1701</v>
      </c>
      <c r="H105" s="68" t="s">
        <v>19</v>
      </c>
      <c r="I105" s="68" t="s">
        <v>1087</v>
      </c>
    </row>
    <row r="106" spans="1:9" ht="13" x14ac:dyDescent="0.15">
      <c r="A106" s="68">
        <v>3</v>
      </c>
      <c r="B106" s="68">
        <v>8</v>
      </c>
      <c r="C106" s="68" t="s">
        <v>38</v>
      </c>
      <c r="D106" s="68">
        <v>3</v>
      </c>
      <c r="E106" s="68" t="str">
        <f t="shared" si="1"/>
        <v>8::Computing systems::3::- Analyse how the hardware components used in computing systems work together in order to execute programs</v>
      </c>
      <c r="F106" s="68" t="s">
        <v>1707</v>
      </c>
      <c r="G106" s="68" t="s">
        <v>1701</v>
      </c>
      <c r="H106" s="68" t="s">
        <v>19</v>
      </c>
      <c r="I106" s="68" t="s">
        <v>1087</v>
      </c>
    </row>
    <row r="107" spans="1:9" ht="13" x14ac:dyDescent="0.15">
      <c r="A107" s="68">
        <v>3</v>
      </c>
      <c r="B107" s="68">
        <v>8</v>
      </c>
      <c r="C107" s="68" t="s">
        <v>38</v>
      </c>
      <c r="D107" s="68">
        <v>3</v>
      </c>
      <c r="E107" s="68" t="str">
        <f t="shared" si="1"/>
        <v>8::Computing systems::3::- Define what an operating system is, and recall its role in controlling program execution</v>
      </c>
      <c r="F107" s="68" t="s">
        <v>1708</v>
      </c>
      <c r="G107" s="68" t="s">
        <v>1701</v>
      </c>
      <c r="H107" s="68" t="s">
        <v>19</v>
      </c>
      <c r="I107" s="68" t="s">
        <v>1087</v>
      </c>
    </row>
    <row r="108" spans="1:9" ht="13" x14ac:dyDescent="0.15">
      <c r="A108" s="68">
        <v>3</v>
      </c>
      <c r="B108" s="68">
        <v>8</v>
      </c>
      <c r="C108" s="68" t="s">
        <v>38</v>
      </c>
      <c r="D108" s="68">
        <v>4</v>
      </c>
      <c r="E108" s="68" t="str">
        <f t="shared" si="1"/>
        <v>8::Computing systems::4::- Describe the NOT, AND, and OR logical operators, and how they are used to form logical expressions</v>
      </c>
      <c r="F108" s="68" t="s">
        <v>1709</v>
      </c>
      <c r="G108" s="68" t="s">
        <v>1701</v>
      </c>
      <c r="H108" s="68" t="s">
        <v>19</v>
      </c>
      <c r="I108" s="68" t="s">
        <v>1087</v>
      </c>
    </row>
    <row r="109" spans="1:9" ht="13" x14ac:dyDescent="0.15">
      <c r="A109" s="68">
        <v>3</v>
      </c>
      <c r="B109" s="68">
        <v>8</v>
      </c>
      <c r="C109" s="68" t="s">
        <v>38</v>
      </c>
      <c r="D109" s="68">
        <v>4</v>
      </c>
      <c r="E109" s="68" t="str">
        <f t="shared" si="1"/>
        <v>8::Computing systems::4::- Use logic gates to construct logic circuits, and associate these with logical operators and expressions</v>
      </c>
      <c r="F109" s="68" t="s">
        <v>1710</v>
      </c>
      <c r="G109" s="68" t="s">
        <v>1701</v>
      </c>
      <c r="H109" s="68" t="s">
        <v>19</v>
      </c>
      <c r="I109" s="68" t="s">
        <v>1087</v>
      </c>
    </row>
    <row r="110" spans="1:9" ht="13" x14ac:dyDescent="0.15">
      <c r="A110" s="68">
        <v>3</v>
      </c>
      <c r="B110" s="68">
        <v>8</v>
      </c>
      <c r="C110" s="68" t="s">
        <v>38</v>
      </c>
      <c r="D110" s="68">
        <v>4</v>
      </c>
      <c r="E110" s="68" t="str">
        <f t="shared" si="1"/>
        <v>8::Computing systems::4::- Describe how hardware is built out of increasingly complex logic circuits</v>
      </c>
      <c r="F110" s="68" t="s">
        <v>1711</v>
      </c>
      <c r="G110" s="68" t="s">
        <v>1701</v>
      </c>
      <c r="H110" s="68" t="s">
        <v>19</v>
      </c>
      <c r="I110" s="68" t="s">
        <v>1087</v>
      </c>
    </row>
    <row r="111" spans="1:9" ht="13" x14ac:dyDescent="0.15">
      <c r="A111" s="68">
        <v>3</v>
      </c>
      <c r="B111" s="68">
        <v>8</v>
      </c>
      <c r="C111" s="68" t="s">
        <v>38</v>
      </c>
      <c r="D111" s="68">
        <v>4</v>
      </c>
      <c r="E111" s="68" t="str">
        <f t="shared" si="1"/>
        <v>8::Computing systems::4::- Recall that, since hardware is built out of logic circuits, data and instructions alike need to be represented using binary digits</v>
      </c>
      <c r="F111" s="68" t="s">
        <v>1712</v>
      </c>
      <c r="G111" s="68" t="s">
        <v>1701</v>
      </c>
      <c r="H111" s="68" t="s">
        <v>1713</v>
      </c>
      <c r="I111" s="68" t="s">
        <v>1087</v>
      </c>
    </row>
    <row r="112" spans="1:9" ht="13" x14ac:dyDescent="0.15">
      <c r="A112" s="68">
        <v>3</v>
      </c>
      <c r="B112" s="68">
        <v>8</v>
      </c>
      <c r="C112" s="68" t="s">
        <v>38</v>
      </c>
      <c r="D112" s="68">
        <v>5</v>
      </c>
      <c r="E112" s="68" t="str">
        <f t="shared" si="1"/>
        <v>8::Computing systems::5::- Provide broad definitions of ‘artificial intelligence’ and ‘machine learning’</v>
      </c>
      <c r="F112" s="68" t="s">
        <v>1714</v>
      </c>
      <c r="G112" s="68" t="s">
        <v>1701</v>
      </c>
      <c r="H112" s="68" t="s">
        <v>1070</v>
      </c>
      <c r="I112" s="68" t="s">
        <v>1087</v>
      </c>
    </row>
    <row r="113" spans="1:9" ht="13" x14ac:dyDescent="0.15">
      <c r="A113" s="68">
        <v>3</v>
      </c>
      <c r="B113" s="68">
        <v>8</v>
      </c>
      <c r="C113" s="68" t="s">
        <v>38</v>
      </c>
      <c r="D113" s="68">
        <v>5</v>
      </c>
      <c r="E113" s="68" t="str">
        <f t="shared" si="1"/>
        <v>8::Computing systems::5::- Identify examples of artificial intelligence and machine learning in the real world</v>
      </c>
      <c r="F113" s="68" t="s">
        <v>1715</v>
      </c>
      <c r="G113" s="68" t="s">
        <v>1701</v>
      </c>
      <c r="H113" s="68" t="s">
        <v>1070</v>
      </c>
      <c r="I113" s="68" t="s">
        <v>1087</v>
      </c>
    </row>
    <row r="114" spans="1:9" ht="13" x14ac:dyDescent="0.15">
      <c r="A114" s="68">
        <v>3</v>
      </c>
      <c r="B114" s="68">
        <v>8</v>
      </c>
      <c r="C114" s="68" t="s">
        <v>38</v>
      </c>
      <c r="D114" s="68">
        <v>5</v>
      </c>
      <c r="E114" s="68" t="str">
        <f t="shared" si="1"/>
        <v>8::Computing systems::5::- Describe the steps involved in training machines to perform tasks (gathering data, training, testing)</v>
      </c>
      <c r="F114" s="68" t="s">
        <v>1716</v>
      </c>
      <c r="G114" s="68" t="s">
        <v>1701</v>
      </c>
      <c r="H114" s="68" t="s">
        <v>1070</v>
      </c>
      <c r="I114" s="68" t="s">
        <v>1087</v>
      </c>
    </row>
    <row r="115" spans="1:9" ht="13" x14ac:dyDescent="0.15">
      <c r="A115" s="68">
        <v>3</v>
      </c>
      <c r="B115" s="68">
        <v>8</v>
      </c>
      <c r="C115" s="68" t="s">
        <v>38</v>
      </c>
      <c r="D115" s="68">
        <v>5</v>
      </c>
      <c r="E115" s="68" t="str">
        <f t="shared" si="1"/>
        <v>8::Computing systems::5::- Describe how machine learning differs from traditional programming</v>
      </c>
      <c r="F115" s="68" t="s">
        <v>1717</v>
      </c>
      <c r="G115" s="68" t="s">
        <v>1701</v>
      </c>
      <c r="H115" s="68" t="s">
        <v>1487</v>
      </c>
      <c r="I115" s="68" t="s">
        <v>1087</v>
      </c>
    </row>
    <row r="116" spans="1:9" ht="13" x14ac:dyDescent="0.15">
      <c r="A116" s="68">
        <v>3</v>
      </c>
      <c r="B116" s="68">
        <v>8</v>
      </c>
      <c r="C116" s="68" t="s">
        <v>38</v>
      </c>
      <c r="D116" s="68">
        <v>5</v>
      </c>
      <c r="E116" s="68" t="str">
        <f t="shared" si="1"/>
        <v>8::Computing systems::5::- Associate the use of artificial intelligence with moral dilemmas</v>
      </c>
      <c r="F116" s="68" t="s">
        <v>1718</v>
      </c>
      <c r="G116" s="68" t="s">
        <v>1701</v>
      </c>
      <c r="H116" s="68" t="s">
        <v>1070</v>
      </c>
      <c r="I116" s="68" t="s">
        <v>1087</v>
      </c>
    </row>
    <row r="117" spans="1:9" ht="13" x14ac:dyDescent="0.15">
      <c r="A117" s="68">
        <v>3</v>
      </c>
      <c r="B117" s="68">
        <v>8</v>
      </c>
      <c r="C117" s="68" t="s">
        <v>38</v>
      </c>
      <c r="D117" s="68">
        <v>6</v>
      </c>
      <c r="E117" s="68" t="str">
        <f t="shared" si="1"/>
        <v>8::Computing systems::6::- Explain the implications of sharing program code</v>
      </c>
      <c r="F117" s="68" t="s">
        <v>1719</v>
      </c>
      <c r="G117" s="68" t="s">
        <v>1701</v>
      </c>
      <c r="H117" s="68" t="s">
        <v>1720</v>
      </c>
      <c r="I117" s="68" t="s">
        <v>1087</v>
      </c>
    </row>
    <row r="118" spans="1:9" ht="13" x14ac:dyDescent="0.15">
      <c r="A118" s="68">
        <v>3</v>
      </c>
      <c r="B118" s="68">
        <v>8</v>
      </c>
      <c r="C118" s="68" t="s">
        <v>1721</v>
      </c>
      <c r="D118" s="68">
        <v>1</v>
      </c>
      <c r="E118" s="68" t="str">
        <f t="shared" si="1"/>
        <v>8::Developing for the web::1::- Describe what HTML is</v>
      </c>
      <c r="F118" s="68" t="s">
        <v>1722</v>
      </c>
      <c r="G118" s="68">
        <v>3.8</v>
      </c>
      <c r="H118" s="68" t="s">
        <v>28</v>
      </c>
      <c r="I118" s="68" t="s">
        <v>1087</v>
      </c>
    </row>
    <row r="119" spans="1:9" ht="13" x14ac:dyDescent="0.15">
      <c r="A119" s="68">
        <v>3</v>
      </c>
      <c r="B119" s="68">
        <v>8</v>
      </c>
      <c r="C119" s="68" t="s">
        <v>1721</v>
      </c>
      <c r="D119" s="68">
        <v>1</v>
      </c>
      <c r="E119" s="68" t="str">
        <f t="shared" si="1"/>
        <v>8::Developing for the web::1::- Use HTML to structure static web pages</v>
      </c>
      <c r="F119" s="68" t="s">
        <v>1723</v>
      </c>
      <c r="G119" s="68">
        <v>3.8</v>
      </c>
      <c r="H119" s="68" t="s">
        <v>1724</v>
      </c>
      <c r="I119" s="68" t="s">
        <v>1087</v>
      </c>
    </row>
    <row r="120" spans="1:9" ht="13" x14ac:dyDescent="0.15">
      <c r="A120" s="68">
        <v>3</v>
      </c>
      <c r="B120" s="68">
        <v>8</v>
      </c>
      <c r="C120" s="68" t="s">
        <v>1721</v>
      </c>
      <c r="D120" s="68">
        <v>1</v>
      </c>
      <c r="E120" s="68" t="str">
        <f t="shared" si="1"/>
        <v>8::Developing for the web::1::- Modify HTML tags using inline styling to improve the appearance of web pages</v>
      </c>
      <c r="F120" s="68" t="s">
        <v>1725</v>
      </c>
      <c r="G120" s="68">
        <v>3.8</v>
      </c>
      <c r="H120" s="68" t="s">
        <v>1726</v>
      </c>
      <c r="I120" s="68" t="s">
        <v>1087</v>
      </c>
    </row>
    <row r="121" spans="1:9" ht="13" x14ac:dyDescent="0.15">
      <c r="A121" s="68">
        <v>3</v>
      </c>
      <c r="B121" s="68">
        <v>8</v>
      </c>
      <c r="C121" s="68" t="s">
        <v>1721</v>
      </c>
      <c r="D121" s="68">
        <v>2</v>
      </c>
      <c r="E121" s="68" t="str">
        <f t="shared" si="1"/>
        <v>8::Developing for the web::2::- Display images within a web page</v>
      </c>
      <c r="F121" s="68" t="s">
        <v>1727</v>
      </c>
      <c r="G121" s="68">
        <v>3.8</v>
      </c>
      <c r="H121" s="68" t="s">
        <v>1724</v>
      </c>
      <c r="I121" s="68" t="s">
        <v>1087</v>
      </c>
    </row>
    <row r="122" spans="1:9" ht="13" x14ac:dyDescent="0.15">
      <c r="A122" s="68">
        <v>3</v>
      </c>
      <c r="B122" s="68">
        <v>8</v>
      </c>
      <c r="C122" s="68" t="s">
        <v>1721</v>
      </c>
      <c r="D122" s="68">
        <v>2</v>
      </c>
      <c r="E122" s="68" t="str">
        <f t="shared" si="1"/>
        <v>8::Developing for the web::2::- Apply HTML tags to construct a web page structure from a provided design</v>
      </c>
      <c r="F122" s="68" t="s">
        <v>1728</v>
      </c>
      <c r="G122" s="68">
        <v>3.8</v>
      </c>
      <c r="H122" s="68" t="s">
        <v>1724</v>
      </c>
      <c r="I122" s="68" t="s">
        <v>1087</v>
      </c>
    </row>
    <row r="123" spans="1:9" ht="13" x14ac:dyDescent="0.15">
      <c r="A123" s="68">
        <v>3</v>
      </c>
      <c r="B123" s="68">
        <v>8</v>
      </c>
      <c r="C123" s="68" t="s">
        <v>1721</v>
      </c>
      <c r="D123" s="68">
        <v>3</v>
      </c>
      <c r="E123" s="68" t="str">
        <f t="shared" si="1"/>
        <v>8::Developing for the web::3::- Describe what CSS is</v>
      </c>
      <c r="F123" s="68" t="s">
        <v>1729</v>
      </c>
      <c r="G123" s="68">
        <v>3.8</v>
      </c>
      <c r="H123" s="68" t="s">
        <v>1724</v>
      </c>
      <c r="I123" s="68" t="s">
        <v>1087</v>
      </c>
    </row>
    <row r="124" spans="1:9" ht="13" x14ac:dyDescent="0.15">
      <c r="A124" s="68">
        <v>3</v>
      </c>
      <c r="B124" s="68">
        <v>8</v>
      </c>
      <c r="C124" s="68" t="s">
        <v>1721</v>
      </c>
      <c r="D124" s="68">
        <v>3</v>
      </c>
      <c r="E124" s="68" t="str">
        <f t="shared" si="1"/>
        <v>8::Developing for the web::3::- Use CSS to style static web pages</v>
      </c>
      <c r="F124" s="68" t="s">
        <v>1730</v>
      </c>
      <c r="G124" s="68">
        <v>3.8</v>
      </c>
      <c r="H124" s="68" t="s">
        <v>1726</v>
      </c>
      <c r="I124" s="68" t="s">
        <v>1087</v>
      </c>
    </row>
    <row r="125" spans="1:9" ht="13" x14ac:dyDescent="0.15">
      <c r="A125" s="68">
        <v>3</v>
      </c>
      <c r="B125" s="68">
        <v>8</v>
      </c>
      <c r="C125" s="68" t="s">
        <v>1721</v>
      </c>
      <c r="D125" s="68">
        <v>3</v>
      </c>
      <c r="E125" s="68" t="str">
        <f t="shared" si="1"/>
        <v>8::Developing for the web::3::- Assess the benefits of using CSS to style pages instead of in-line formatting</v>
      </c>
      <c r="F125" s="68" t="s">
        <v>1731</v>
      </c>
      <c r="G125" s="68">
        <v>3.8</v>
      </c>
      <c r="H125" s="68" t="s">
        <v>1732</v>
      </c>
      <c r="I125" s="68" t="s">
        <v>1087</v>
      </c>
    </row>
    <row r="126" spans="1:9" ht="13" x14ac:dyDescent="0.15">
      <c r="A126" s="68">
        <v>3</v>
      </c>
      <c r="B126" s="68">
        <v>8</v>
      </c>
      <c r="C126" s="68" t="s">
        <v>1721</v>
      </c>
      <c r="D126" s="68">
        <v>4</v>
      </c>
      <c r="E126" s="68" t="str">
        <f t="shared" si="1"/>
        <v>8::Developing for the web::4::- Describe what a search engine is</v>
      </c>
      <c r="F126" s="68" t="s">
        <v>1733</v>
      </c>
      <c r="G126" s="68">
        <v>3.8</v>
      </c>
      <c r="H126" s="68" t="s">
        <v>1256</v>
      </c>
      <c r="I126" s="68" t="s">
        <v>1087</v>
      </c>
    </row>
    <row r="127" spans="1:9" ht="13" x14ac:dyDescent="0.15">
      <c r="A127" s="68">
        <v>3</v>
      </c>
      <c r="B127" s="68">
        <v>8</v>
      </c>
      <c r="C127" s="68" t="s">
        <v>1721</v>
      </c>
      <c r="D127" s="68">
        <v>4</v>
      </c>
      <c r="E127" s="68" t="str">
        <f t="shared" si="1"/>
        <v>8::Developing for the web::4::- Explain how search engines ‘crawl’ through the World Wide Web and how they select and rank results</v>
      </c>
      <c r="F127" s="68" t="s">
        <v>1734</v>
      </c>
      <c r="G127" s="68">
        <v>3.8</v>
      </c>
      <c r="H127" s="68" t="s">
        <v>1735</v>
      </c>
      <c r="I127" s="68" t="s">
        <v>1087</v>
      </c>
    </row>
    <row r="128" spans="1:9" ht="13" x14ac:dyDescent="0.15">
      <c r="A128" s="68">
        <v>3</v>
      </c>
      <c r="B128" s="68">
        <v>8</v>
      </c>
      <c r="C128" s="68" t="s">
        <v>1721</v>
      </c>
      <c r="D128" s="68">
        <v>4</v>
      </c>
      <c r="E128" s="68" t="str">
        <f t="shared" si="1"/>
        <v>8::Developing for the web::4::- Analyse how search engines select and rank results when searches are made</v>
      </c>
      <c r="F128" s="68" t="s">
        <v>1736</v>
      </c>
      <c r="G128" s="68">
        <v>3.8</v>
      </c>
      <c r="H128" s="68" t="s">
        <v>1737</v>
      </c>
      <c r="I128" s="68" t="s">
        <v>1087</v>
      </c>
    </row>
    <row r="129" spans="1:9" ht="13" x14ac:dyDescent="0.15">
      <c r="A129" s="68">
        <v>3</v>
      </c>
      <c r="B129" s="68">
        <v>8</v>
      </c>
      <c r="C129" s="68" t="s">
        <v>1721</v>
      </c>
      <c r="D129" s="68">
        <v>5</v>
      </c>
      <c r="E129" s="68" t="str">
        <f t="shared" si="1"/>
        <v>8::Developing for the web::5::- Use search technologies effectively</v>
      </c>
      <c r="F129" s="68" t="s">
        <v>1738</v>
      </c>
      <c r="G129" s="68">
        <v>3.8</v>
      </c>
      <c r="H129" s="68" t="s">
        <v>1439</v>
      </c>
      <c r="I129" s="68" t="s">
        <v>1087</v>
      </c>
    </row>
    <row r="130" spans="1:9" ht="13" x14ac:dyDescent="0.15">
      <c r="A130" s="68">
        <v>3</v>
      </c>
      <c r="B130" s="68">
        <v>8</v>
      </c>
      <c r="C130" s="68" t="s">
        <v>1721</v>
      </c>
      <c r="D130" s="68">
        <v>5</v>
      </c>
      <c r="E130" s="68" t="str">
        <f t="shared" ref="E130:E193" si="2">B130&amp;"::"&amp;C130&amp;"::"&amp;D130&amp;"::"&amp;F130</f>
        <v>8::Developing for the web::5::- Discuss the impact of search technologies and the issues that arise by the way they function and the way they are used</v>
      </c>
      <c r="F130" s="68" t="s">
        <v>1739</v>
      </c>
      <c r="G130" s="68">
        <v>3.8</v>
      </c>
      <c r="H130" s="68" t="s">
        <v>1740</v>
      </c>
      <c r="I130" s="68" t="s">
        <v>1087</v>
      </c>
    </row>
    <row r="131" spans="1:9" ht="13" x14ac:dyDescent="0.15">
      <c r="A131" s="68">
        <v>3</v>
      </c>
      <c r="B131" s="68">
        <v>8</v>
      </c>
      <c r="C131" s="68" t="s">
        <v>1721</v>
      </c>
      <c r="D131" s="68">
        <v>5</v>
      </c>
      <c r="E131" s="68" t="str">
        <f t="shared" si="2"/>
        <v>8::Developing for the web::5::- Create hyperlinks to allow users to navigate between multiple web pages</v>
      </c>
      <c r="F131" s="68" t="s">
        <v>1741</v>
      </c>
      <c r="G131" s="68">
        <v>3.8</v>
      </c>
      <c r="H131" s="68" t="s">
        <v>1726</v>
      </c>
      <c r="I131" s="68" t="s">
        <v>1087</v>
      </c>
    </row>
    <row r="132" spans="1:9" ht="13" x14ac:dyDescent="0.15">
      <c r="A132" s="68">
        <v>3</v>
      </c>
      <c r="B132" s="68">
        <v>8</v>
      </c>
      <c r="C132" s="68" t="s">
        <v>1721</v>
      </c>
      <c r="D132" s="68">
        <v>6</v>
      </c>
      <c r="E132" s="68" t="str">
        <f t="shared" si="2"/>
        <v>8::Developing for the web::6::- Implement navigation to complete a functioning website</v>
      </c>
      <c r="F132" s="68" t="s">
        <v>1742</v>
      </c>
      <c r="G132" s="68">
        <v>3.8</v>
      </c>
      <c r="H132" s="68" t="s">
        <v>1685</v>
      </c>
      <c r="I132" s="68" t="s">
        <v>1087</v>
      </c>
    </row>
    <row r="133" spans="1:9" ht="13" x14ac:dyDescent="0.15">
      <c r="A133" s="68">
        <v>3</v>
      </c>
      <c r="B133" s="68">
        <v>8</v>
      </c>
      <c r="C133" s="68" t="s">
        <v>1721</v>
      </c>
      <c r="D133" s="68">
        <v>6</v>
      </c>
      <c r="E133" s="68" t="str">
        <f t="shared" si="2"/>
        <v>8::Developing for the web::6::- Complete summative assessment</v>
      </c>
      <c r="F133" s="68" t="s">
        <v>1743</v>
      </c>
      <c r="G133" s="68">
        <v>3.8</v>
      </c>
      <c r="H133" s="68" t="s">
        <v>1744</v>
      </c>
      <c r="I133" s="68" t="s">
        <v>1087</v>
      </c>
    </row>
    <row r="134" spans="1:9" ht="13" x14ac:dyDescent="0.15">
      <c r="A134" s="68">
        <v>3</v>
      </c>
      <c r="B134" s="68">
        <v>8</v>
      </c>
      <c r="C134" s="68" t="s">
        <v>1745</v>
      </c>
      <c r="D134" s="68">
        <v>1</v>
      </c>
      <c r="E134" s="68" t="str">
        <f t="shared" si="2"/>
        <v>8::Introduction to Python programming::1::- Describe what algorithms and programs are and how they differ</v>
      </c>
      <c r="F134" s="68" t="s">
        <v>1746</v>
      </c>
      <c r="G134" s="68" t="s">
        <v>1747</v>
      </c>
      <c r="H134" s="68" t="s">
        <v>1225</v>
      </c>
      <c r="I134" s="68" t="s">
        <v>1087</v>
      </c>
    </row>
    <row r="135" spans="1:9" ht="13" x14ac:dyDescent="0.15">
      <c r="A135" s="68">
        <v>3</v>
      </c>
      <c r="B135" s="68">
        <v>8</v>
      </c>
      <c r="C135" s="68" t="s">
        <v>1745</v>
      </c>
      <c r="D135" s="68">
        <v>1</v>
      </c>
      <c r="E135" s="68" t="str">
        <f t="shared" si="2"/>
        <v>8::Introduction to Python programming::1::- Recall that a program written in a programming language needs to be translated in order to be executed by a machine</v>
      </c>
      <c r="F135" s="68" t="s">
        <v>1748</v>
      </c>
      <c r="G135" s="68" t="s">
        <v>1747</v>
      </c>
      <c r="H135" s="68" t="s">
        <v>1487</v>
      </c>
      <c r="I135" s="68" t="s">
        <v>1087</v>
      </c>
    </row>
    <row r="136" spans="1:9" ht="13" x14ac:dyDescent="0.15">
      <c r="A136" s="68">
        <v>3</v>
      </c>
      <c r="B136" s="68">
        <v>8</v>
      </c>
      <c r="C136" s="68" t="s">
        <v>1745</v>
      </c>
      <c r="D136" s="68">
        <v>1</v>
      </c>
      <c r="E136" s="68" t="str">
        <f t="shared" si="2"/>
        <v>8::Introduction to Python programming::1::- Write simple Python programs that display messages, assign values to variables, and receive keyboard input</v>
      </c>
      <c r="F136" s="68" t="s">
        <v>1749</v>
      </c>
      <c r="G136" s="68" t="s">
        <v>1747</v>
      </c>
      <c r="H136" s="68" t="s">
        <v>28</v>
      </c>
      <c r="I136" s="68" t="s">
        <v>1087</v>
      </c>
    </row>
    <row r="137" spans="1:9" ht="13" x14ac:dyDescent="0.15">
      <c r="A137" s="68">
        <v>3</v>
      </c>
      <c r="B137" s="68">
        <v>8</v>
      </c>
      <c r="C137" s="68" t="s">
        <v>1745</v>
      </c>
      <c r="D137" s="68">
        <v>1</v>
      </c>
      <c r="E137" s="68" t="str">
        <f t="shared" si="2"/>
        <v>8::Introduction to Python programming::1::- Locate and correct common syntax errors</v>
      </c>
      <c r="F137" s="68" t="s">
        <v>1750</v>
      </c>
      <c r="G137" s="68" t="s">
        <v>1747</v>
      </c>
      <c r="H137" s="68" t="s">
        <v>28</v>
      </c>
      <c r="I137" s="68" t="s">
        <v>1087</v>
      </c>
    </row>
    <row r="138" spans="1:9" ht="13" x14ac:dyDescent="0.15">
      <c r="A138" s="68">
        <v>3</v>
      </c>
      <c r="B138" s="68">
        <v>8</v>
      </c>
      <c r="C138" s="68" t="s">
        <v>1745</v>
      </c>
      <c r="D138" s="68">
        <v>2</v>
      </c>
      <c r="E138" s="68" t="str">
        <f t="shared" si="2"/>
        <v>8::Introduction to Python programming::2::- Describe the semantics of assignment statements</v>
      </c>
      <c r="F138" s="68" t="s">
        <v>1751</v>
      </c>
      <c r="G138" s="68" t="s">
        <v>1747</v>
      </c>
      <c r="H138" s="68" t="s">
        <v>28</v>
      </c>
      <c r="I138" s="68" t="s">
        <v>1087</v>
      </c>
    </row>
    <row r="139" spans="1:9" ht="13" x14ac:dyDescent="0.15">
      <c r="A139" s="68">
        <v>3</v>
      </c>
      <c r="B139" s="68">
        <v>8</v>
      </c>
      <c r="C139" s="68" t="s">
        <v>1745</v>
      </c>
      <c r="D139" s="68">
        <v>2</v>
      </c>
      <c r="E139" s="68" t="str">
        <f t="shared" si="2"/>
        <v>8::Introduction to Python programming::2::- Use simple arithmetic expressions in assignment statements to calculate values</v>
      </c>
      <c r="F139" s="68" t="s">
        <v>1752</v>
      </c>
      <c r="G139" s="68" t="s">
        <v>1747</v>
      </c>
      <c r="H139" s="68" t="s">
        <v>28</v>
      </c>
      <c r="I139" s="68" t="s">
        <v>1087</v>
      </c>
    </row>
    <row r="140" spans="1:9" ht="13" x14ac:dyDescent="0.15">
      <c r="A140" s="68">
        <v>3</v>
      </c>
      <c r="B140" s="68">
        <v>8</v>
      </c>
      <c r="C140" s="68" t="s">
        <v>1745</v>
      </c>
      <c r="D140" s="68">
        <v>2</v>
      </c>
      <c r="E140" s="68" t="str">
        <f t="shared" si="2"/>
        <v>8::Introduction to Python programming::2::- Receive input from the keyboard and convert it to a numerical value</v>
      </c>
      <c r="F140" s="68" t="s">
        <v>1753</v>
      </c>
      <c r="G140" s="68" t="s">
        <v>1747</v>
      </c>
      <c r="H140" s="68" t="s">
        <v>28</v>
      </c>
      <c r="I140" s="68" t="s">
        <v>1087</v>
      </c>
    </row>
    <row r="141" spans="1:9" ht="13" x14ac:dyDescent="0.15">
      <c r="A141" s="68">
        <v>3</v>
      </c>
      <c r="B141" s="68">
        <v>8</v>
      </c>
      <c r="C141" s="68" t="s">
        <v>1745</v>
      </c>
      <c r="D141" s="68">
        <v>3</v>
      </c>
      <c r="E141" s="68" t="str">
        <f t="shared" si="2"/>
        <v>8::Introduction to Python programming::3::- Use relational operators to form logical expressions</v>
      </c>
      <c r="F141" s="68" t="s">
        <v>1754</v>
      </c>
      <c r="G141" s="68" t="s">
        <v>1747</v>
      </c>
      <c r="H141" s="68" t="s">
        <v>28</v>
      </c>
      <c r="I141" s="68" t="s">
        <v>1087</v>
      </c>
    </row>
    <row r="142" spans="1:9" ht="13" x14ac:dyDescent="0.15">
      <c r="A142" s="68">
        <v>3</v>
      </c>
      <c r="B142" s="68">
        <v>8</v>
      </c>
      <c r="C142" s="68" t="s">
        <v>1745</v>
      </c>
      <c r="D142" s="68">
        <v>3</v>
      </c>
      <c r="E142" s="68" t="str">
        <f t="shared" si="2"/>
        <v>8::Introduction to Python programming::3::- Use binary selection (if, else statements) to control the flow of program execution</v>
      </c>
      <c r="F142" s="68" t="s">
        <v>1755</v>
      </c>
      <c r="G142" s="68" t="s">
        <v>1747</v>
      </c>
      <c r="H142" s="68" t="s">
        <v>28</v>
      </c>
      <c r="I142" s="68" t="s">
        <v>1087</v>
      </c>
    </row>
    <row r="143" spans="1:9" ht="13" x14ac:dyDescent="0.15">
      <c r="A143" s="68">
        <v>3</v>
      </c>
      <c r="B143" s="68">
        <v>8</v>
      </c>
      <c r="C143" s="68" t="s">
        <v>1745</v>
      </c>
      <c r="D143" s="68">
        <v>3</v>
      </c>
      <c r="E143" s="68" t="str">
        <f t="shared" si="2"/>
        <v>8::Introduction to Python programming::3::- Generate and use random integers</v>
      </c>
      <c r="F143" s="68" t="s">
        <v>1756</v>
      </c>
      <c r="G143" s="68" t="s">
        <v>1747</v>
      </c>
      <c r="H143" s="68" t="s">
        <v>28</v>
      </c>
      <c r="I143" s="68" t="s">
        <v>1087</v>
      </c>
    </row>
    <row r="144" spans="1:9" ht="13" x14ac:dyDescent="0.15">
      <c r="A144" s="68">
        <v>3</v>
      </c>
      <c r="B144" s="68">
        <v>8</v>
      </c>
      <c r="C144" s="68" t="s">
        <v>1745</v>
      </c>
      <c r="D144" s="68">
        <v>4</v>
      </c>
      <c r="E144" s="68" t="str">
        <f t="shared" si="2"/>
        <v>8::Introduction to Python programming::4::- Use multi-branch selection (if, elif, else statements) to control the flow of program execution</v>
      </c>
      <c r="F144" s="68" t="s">
        <v>1757</v>
      </c>
      <c r="G144" s="68" t="s">
        <v>1747</v>
      </c>
      <c r="H144" s="68" t="s">
        <v>28</v>
      </c>
      <c r="I144" s="68" t="s">
        <v>1087</v>
      </c>
    </row>
    <row r="145" spans="1:9" ht="13" x14ac:dyDescent="0.15">
      <c r="A145" s="68">
        <v>3</v>
      </c>
      <c r="B145" s="68">
        <v>8</v>
      </c>
      <c r="C145" s="68" t="s">
        <v>1745</v>
      </c>
      <c r="D145" s="68">
        <v>4</v>
      </c>
      <c r="E145" s="68" t="str">
        <f t="shared" si="2"/>
        <v>8::Introduction to Python programming::4::- Describe how iteration (while statements) controls the flow of program execution</v>
      </c>
      <c r="F145" s="68" t="s">
        <v>1758</v>
      </c>
      <c r="G145" s="68" t="s">
        <v>1747</v>
      </c>
      <c r="H145" s="68" t="s">
        <v>28</v>
      </c>
      <c r="I145" s="68" t="s">
        <v>1087</v>
      </c>
    </row>
    <row r="146" spans="1:9" ht="13" x14ac:dyDescent="0.15">
      <c r="A146" s="68">
        <v>3</v>
      </c>
      <c r="B146" s="68">
        <v>8</v>
      </c>
      <c r="C146" s="68" t="s">
        <v>1745</v>
      </c>
      <c r="D146" s="68">
        <v>5</v>
      </c>
      <c r="E146" s="68" t="str">
        <f t="shared" si="2"/>
        <v>8::Introduction to Python programming::5::- Use iteration (while loops) to control the flow of program execution</v>
      </c>
      <c r="F146" s="68" t="s">
        <v>1759</v>
      </c>
      <c r="G146" s="68" t="s">
        <v>1747</v>
      </c>
      <c r="H146" s="68" t="s">
        <v>28</v>
      </c>
      <c r="I146" s="68" t="s">
        <v>1087</v>
      </c>
    </row>
    <row r="147" spans="1:9" ht="13" x14ac:dyDescent="0.15">
      <c r="A147" s="68">
        <v>3</v>
      </c>
      <c r="B147" s="68">
        <v>8</v>
      </c>
      <c r="C147" s="68" t="s">
        <v>1745</v>
      </c>
      <c r="D147" s="68">
        <v>5</v>
      </c>
      <c r="E147" s="68" t="str">
        <f t="shared" si="2"/>
        <v>8::Introduction to Python programming::5::- Use variables as counters in iterative programs</v>
      </c>
      <c r="F147" s="68" t="s">
        <v>1760</v>
      </c>
      <c r="G147" s="68" t="s">
        <v>1747</v>
      </c>
      <c r="H147" s="68" t="s">
        <v>28</v>
      </c>
      <c r="I147" s="68" t="s">
        <v>1087</v>
      </c>
    </row>
    <row r="148" spans="1:9" ht="13" x14ac:dyDescent="0.15">
      <c r="A148" s="68">
        <v>3</v>
      </c>
      <c r="B148" s="68">
        <v>8</v>
      </c>
      <c r="C148" s="68" t="s">
        <v>1745</v>
      </c>
      <c r="D148" s="68">
        <v>6</v>
      </c>
      <c r="E148" s="68" t="str">
        <f t="shared" si="2"/>
        <v>8::Introduction to Python programming::6::- Combine iteration and selection to control the flow of program execution</v>
      </c>
      <c r="F148" s="68" t="s">
        <v>1761</v>
      </c>
      <c r="G148" s="68" t="s">
        <v>1747</v>
      </c>
      <c r="H148" s="68" t="s">
        <v>28</v>
      </c>
      <c r="I148" s="68" t="s">
        <v>1087</v>
      </c>
    </row>
    <row r="149" spans="1:9" ht="13" x14ac:dyDescent="0.15">
      <c r="A149" s="68">
        <v>3</v>
      </c>
      <c r="B149" s="68">
        <v>8</v>
      </c>
      <c r="C149" s="68" t="s">
        <v>1745</v>
      </c>
      <c r="D149" s="68">
        <v>6</v>
      </c>
      <c r="E149" s="68" t="str">
        <f t="shared" si="2"/>
        <v>8::Introduction to Python programming::6::- Use Boolean variables as flags</v>
      </c>
      <c r="F149" s="68" t="s">
        <v>1762</v>
      </c>
      <c r="G149" s="68" t="s">
        <v>1747</v>
      </c>
      <c r="H149" s="68" t="s">
        <v>28</v>
      </c>
      <c r="I149" s="68" t="s">
        <v>1087</v>
      </c>
    </row>
    <row r="150" spans="1:9" ht="13" x14ac:dyDescent="0.15">
      <c r="A150" s="68">
        <v>3</v>
      </c>
      <c r="B150" s="68">
        <v>8</v>
      </c>
      <c r="C150" s="68" t="s">
        <v>1763</v>
      </c>
      <c r="D150" s="68">
        <v>1</v>
      </c>
      <c r="E150" s="68" t="str">
        <f t="shared" si="2"/>
        <v>8::Media – Vector graphics::1::- Draw basic shapes (rectangle, ellipse, polygon, star) with different properties (fill and stroke, shape-specific attributes)</v>
      </c>
      <c r="F150" s="68" t="s">
        <v>1764</v>
      </c>
      <c r="G150" s="68" t="s">
        <v>1681</v>
      </c>
      <c r="H150" s="68" t="s">
        <v>1086</v>
      </c>
      <c r="I150" s="68" t="s">
        <v>1087</v>
      </c>
    </row>
    <row r="151" spans="1:9" ht="13" x14ac:dyDescent="0.15">
      <c r="A151" s="68">
        <v>3</v>
      </c>
      <c r="B151" s="68">
        <v>8</v>
      </c>
      <c r="C151" s="68" t="s">
        <v>1763</v>
      </c>
      <c r="D151" s="68">
        <v>1</v>
      </c>
      <c r="E151" s="68" t="str">
        <f t="shared" si="2"/>
        <v>8::Media – Vector graphics::1::- Manipulate individual objects (select, move, resize, rotate, duplicate, flip, z-order)</v>
      </c>
      <c r="F151" s="68" t="s">
        <v>1765</v>
      </c>
      <c r="G151" s="68" t="s">
        <v>1681</v>
      </c>
      <c r="H151" s="68" t="s">
        <v>1086</v>
      </c>
      <c r="I151" s="68" t="s">
        <v>1087</v>
      </c>
    </row>
    <row r="152" spans="1:9" ht="13" x14ac:dyDescent="0.15">
      <c r="A152" s="68">
        <v>3</v>
      </c>
      <c r="B152" s="68">
        <v>8</v>
      </c>
      <c r="C152" s="68" t="s">
        <v>1763</v>
      </c>
      <c r="D152" s="68">
        <v>2</v>
      </c>
      <c r="E152" s="68" t="str">
        <f t="shared" si="2"/>
        <v>8::Media – Vector graphics::2::- Manipulate groups of objects (select, group/ungroup, align, distribute)</v>
      </c>
      <c r="F152" s="68" t="s">
        <v>1766</v>
      </c>
      <c r="G152" s="68" t="s">
        <v>1681</v>
      </c>
      <c r="H152" s="68" t="s">
        <v>1086</v>
      </c>
      <c r="I152" s="68" t="s">
        <v>1087</v>
      </c>
    </row>
    <row r="153" spans="1:9" ht="13" x14ac:dyDescent="0.15">
      <c r="A153" s="68">
        <v>3</v>
      </c>
      <c r="B153" s="68">
        <v>8</v>
      </c>
      <c r="C153" s="68" t="s">
        <v>1763</v>
      </c>
      <c r="D153" s="68">
        <v>2</v>
      </c>
      <c r="E153" s="68" t="str">
        <f t="shared" si="2"/>
        <v>8::Media – Vector graphics::2::- Combine paths by applying operations (union, difference, intersection)</v>
      </c>
      <c r="F153" s="68" t="s">
        <v>1767</v>
      </c>
      <c r="G153" s="68" t="s">
        <v>1681</v>
      </c>
      <c r="H153" s="68" t="s">
        <v>1086</v>
      </c>
      <c r="I153" s="68" t="s">
        <v>1087</v>
      </c>
    </row>
    <row r="154" spans="1:9" ht="13" x14ac:dyDescent="0.15">
      <c r="A154" s="68">
        <v>3</v>
      </c>
      <c r="B154" s="68">
        <v>8</v>
      </c>
      <c r="C154" s="68" t="s">
        <v>1763</v>
      </c>
      <c r="D154" s="68">
        <v>3</v>
      </c>
      <c r="E154" s="68" t="str">
        <f t="shared" si="2"/>
        <v>8::Media – Vector graphics::3::- Convert objects to paths</v>
      </c>
      <c r="F154" s="68" t="s">
        <v>1768</v>
      </c>
      <c r="G154" s="68" t="s">
        <v>1681</v>
      </c>
      <c r="H154" s="68" t="s">
        <v>1086</v>
      </c>
      <c r="I154" s="68" t="s">
        <v>1087</v>
      </c>
    </row>
    <row r="155" spans="1:9" ht="13" x14ac:dyDescent="0.15">
      <c r="A155" s="68">
        <v>3</v>
      </c>
      <c r="B155" s="68">
        <v>8</v>
      </c>
      <c r="C155" s="68" t="s">
        <v>1763</v>
      </c>
      <c r="D155" s="68">
        <v>3</v>
      </c>
      <c r="E155" s="68" t="str">
        <f t="shared" si="2"/>
        <v>8::Media – Vector graphics::3::- Draw paths</v>
      </c>
      <c r="F155" s="68" t="s">
        <v>1769</v>
      </c>
      <c r="G155" s="68" t="s">
        <v>1681</v>
      </c>
      <c r="H155" s="68" t="s">
        <v>1086</v>
      </c>
      <c r="I155" s="68" t="s">
        <v>1087</v>
      </c>
    </row>
    <row r="156" spans="1:9" ht="13" x14ac:dyDescent="0.15">
      <c r="A156" s="68">
        <v>3</v>
      </c>
      <c r="B156" s="68">
        <v>8</v>
      </c>
      <c r="C156" s="68" t="s">
        <v>1763</v>
      </c>
      <c r="D156" s="68">
        <v>3</v>
      </c>
      <c r="E156" s="68" t="str">
        <f t="shared" si="2"/>
        <v>8::Media – Vector graphics::3::- Edit path nodes</v>
      </c>
      <c r="F156" s="68" t="s">
        <v>1770</v>
      </c>
      <c r="G156" s="68" t="s">
        <v>1681</v>
      </c>
      <c r="H156" s="68" t="s">
        <v>1086</v>
      </c>
      <c r="I156" s="68" t="s">
        <v>1087</v>
      </c>
    </row>
    <row r="157" spans="1:9" ht="13" x14ac:dyDescent="0.15">
      <c r="A157" s="68">
        <v>3</v>
      </c>
      <c r="B157" s="68">
        <v>8</v>
      </c>
      <c r="C157" s="68" t="s">
        <v>1763</v>
      </c>
      <c r="D157" s="68">
        <v>4</v>
      </c>
      <c r="E157" s="68" t="str">
        <f t="shared" si="2"/>
        <v>8::Media – Vector graphics::4::- Combine multiple tools and techniques to create a vector graphic design</v>
      </c>
      <c r="F157" s="68" t="s">
        <v>1771</v>
      </c>
      <c r="G157" s="68" t="s">
        <v>1681</v>
      </c>
      <c r="H157" s="68" t="s">
        <v>1094</v>
      </c>
      <c r="I157" s="68" t="s">
        <v>1087</v>
      </c>
    </row>
    <row r="158" spans="1:9" ht="13" x14ac:dyDescent="0.15">
      <c r="A158" s="68">
        <v>3</v>
      </c>
      <c r="B158" s="68">
        <v>8</v>
      </c>
      <c r="C158" s="68" t="s">
        <v>1763</v>
      </c>
      <c r="D158" s="68">
        <v>5</v>
      </c>
      <c r="E158" s="68" t="str">
        <f t="shared" si="2"/>
        <v>8::Media – Vector graphics::5::- Explain what vector graphics are</v>
      </c>
      <c r="F158" s="68" t="s">
        <v>1772</v>
      </c>
      <c r="G158" s="68" t="s">
        <v>1681</v>
      </c>
      <c r="H158" s="68" t="s">
        <v>1197</v>
      </c>
      <c r="I158" s="68" t="s">
        <v>1087</v>
      </c>
    </row>
    <row r="159" spans="1:9" ht="13" x14ac:dyDescent="0.15">
      <c r="A159" s="68">
        <v>3</v>
      </c>
      <c r="B159" s="68">
        <v>8</v>
      </c>
      <c r="C159" s="68" t="s">
        <v>1763</v>
      </c>
      <c r="D159" s="68">
        <v>5</v>
      </c>
      <c r="E159" s="68" t="str">
        <f t="shared" si="2"/>
        <v>8::Media – Vector graphics::5::- Provide examples where using vector graphics would be appropriate</v>
      </c>
      <c r="F159" s="68" t="s">
        <v>1773</v>
      </c>
      <c r="G159" s="68" t="s">
        <v>1681</v>
      </c>
      <c r="H159" s="68" t="s">
        <v>1197</v>
      </c>
      <c r="I159" s="68" t="s">
        <v>1087</v>
      </c>
    </row>
    <row r="160" spans="1:9" ht="13" x14ac:dyDescent="0.15">
      <c r="A160" s="68">
        <v>3</v>
      </c>
      <c r="B160" s="68">
        <v>8</v>
      </c>
      <c r="C160" s="68" t="s">
        <v>1763</v>
      </c>
      <c r="D160" s="68">
        <v>6</v>
      </c>
      <c r="E160" s="68" t="str">
        <f t="shared" si="2"/>
        <v>8::Media – Vector graphics::6::- Peer assess another pair’s project work</v>
      </c>
      <c r="F160" s="68" t="s">
        <v>1774</v>
      </c>
      <c r="G160" s="68" t="s">
        <v>1681</v>
      </c>
      <c r="H160" s="68" t="s">
        <v>16</v>
      </c>
      <c r="I160" s="68" t="s">
        <v>1087</v>
      </c>
    </row>
    <row r="161" spans="1:9" ht="13" x14ac:dyDescent="0.15">
      <c r="A161" s="68">
        <v>3</v>
      </c>
      <c r="B161" s="68">
        <v>8</v>
      </c>
      <c r="C161" s="68" t="s">
        <v>1763</v>
      </c>
      <c r="D161" s="68">
        <v>6</v>
      </c>
      <c r="E161" s="68" t="str">
        <f t="shared" si="2"/>
        <v>8::Media – Vector graphics::6::- Improve your own project work based on feedback</v>
      </c>
      <c r="F161" s="68" t="s">
        <v>1775</v>
      </c>
      <c r="G161" s="68" t="s">
        <v>1681</v>
      </c>
      <c r="H161" s="68" t="s">
        <v>1183</v>
      </c>
      <c r="I161" s="68" t="s">
        <v>1087</v>
      </c>
    </row>
    <row r="162" spans="1:9" ht="13" x14ac:dyDescent="0.15">
      <c r="A162" s="68">
        <v>3</v>
      </c>
      <c r="B162" s="68">
        <v>8</v>
      </c>
      <c r="C162" s="68" t="s">
        <v>1763</v>
      </c>
      <c r="D162" s="68">
        <v>6</v>
      </c>
      <c r="E162" s="68" t="str">
        <f t="shared" si="2"/>
        <v>8::Media – Vector graphics::6::- Complete a summative assessment</v>
      </c>
      <c r="F162" s="68" t="s">
        <v>1776</v>
      </c>
      <c r="G162" s="68" t="s">
        <v>1681</v>
      </c>
      <c r="H162" s="68" t="s">
        <v>1362</v>
      </c>
      <c r="I162" s="68" t="s">
        <v>1087</v>
      </c>
    </row>
    <row r="163" spans="1:9" ht="13" x14ac:dyDescent="0.15">
      <c r="A163" s="68">
        <v>3</v>
      </c>
      <c r="B163" s="68">
        <v>8</v>
      </c>
      <c r="C163" s="68" t="s">
        <v>1777</v>
      </c>
      <c r="D163" s="68">
        <v>1</v>
      </c>
      <c r="E163" s="68" t="str">
        <f t="shared" si="2"/>
        <v>8::Mobile app development::1::- Identify when a problem needs to be broken down</v>
      </c>
      <c r="F163" s="68" t="s">
        <v>1778</v>
      </c>
      <c r="G163" s="68" t="s">
        <v>1779</v>
      </c>
      <c r="H163" s="68" t="s">
        <v>1225</v>
      </c>
      <c r="I163" s="68" t="s">
        <v>1087</v>
      </c>
    </row>
    <row r="164" spans="1:9" ht="13" x14ac:dyDescent="0.15">
      <c r="A164" s="68">
        <v>3</v>
      </c>
      <c r="B164" s="68">
        <v>8</v>
      </c>
      <c r="C164" s="68" t="s">
        <v>1777</v>
      </c>
      <c r="D164" s="68">
        <v>1</v>
      </c>
      <c r="E164" s="68" t="str">
        <f t="shared" si="2"/>
        <v>8::Mobile app development::1::- Implement and customise GUI elements to meet the needs of the user</v>
      </c>
      <c r="F164" s="68" t="s">
        <v>1780</v>
      </c>
      <c r="G164" s="68" t="s">
        <v>1779</v>
      </c>
      <c r="H164" s="68" t="s">
        <v>1781</v>
      </c>
      <c r="I164" s="68" t="s">
        <v>1087</v>
      </c>
    </row>
    <row r="165" spans="1:9" ht="13" x14ac:dyDescent="0.15">
      <c r="A165" s="68">
        <v>3</v>
      </c>
      <c r="B165" s="68">
        <v>8</v>
      </c>
      <c r="C165" s="68" t="s">
        <v>1777</v>
      </c>
      <c r="D165" s="68">
        <v>2</v>
      </c>
      <c r="E165" s="68" t="str">
        <f t="shared" si="2"/>
        <v>8::Mobile app development::2::- Recognise that events can control the flow of a program</v>
      </c>
      <c r="F165" s="68" t="s">
        <v>1782</v>
      </c>
      <c r="G165" s="68" t="s">
        <v>1779</v>
      </c>
      <c r="H165" s="68" t="s">
        <v>28</v>
      </c>
      <c r="I165" s="68" t="s">
        <v>1087</v>
      </c>
    </row>
    <row r="166" spans="1:9" ht="13" x14ac:dyDescent="0.15">
      <c r="A166" s="68">
        <v>3</v>
      </c>
      <c r="B166" s="68">
        <v>8</v>
      </c>
      <c r="C166" s="68" t="s">
        <v>1777</v>
      </c>
      <c r="D166" s="68">
        <v>2</v>
      </c>
      <c r="E166" s="68" t="str">
        <f t="shared" si="2"/>
        <v>8::Mobile app development::2::- Use user input in an event-driven programming environment</v>
      </c>
      <c r="F166" s="68" t="s">
        <v>1783</v>
      </c>
      <c r="G166" s="68" t="s">
        <v>1779</v>
      </c>
      <c r="H166" s="68" t="s">
        <v>1309</v>
      </c>
      <c r="I166" s="68" t="s">
        <v>1087</v>
      </c>
    </row>
    <row r="167" spans="1:9" ht="13" x14ac:dyDescent="0.15">
      <c r="A167" s="68">
        <v>3</v>
      </c>
      <c r="B167" s="68">
        <v>8</v>
      </c>
      <c r="C167" s="68" t="s">
        <v>1777</v>
      </c>
      <c r="D167" s="68">
        <v>2</v>
      </c>
      <c r="E167" s="68" t="str">
        <f t="shared" si="2"/>
        <v>8::Mobile app development::2::- Use variables in an event-driven programming environment</v>
      </c>
      <c r="F167" s="68" t="s">
        <v>1784</v>
      </c>
      <c r="G167" s="68" t="s">
        <v>1779</v>
      </c>
      <c r="H167" s="68" t="s">
        <v>1309</v>
      </c>
      <c r="I167" s="68" t="s">
        <v>1087</v>
      </c>
    </row>
    <row r="168" spans="1:9" ht="13" x14ac:dyDescent="0.15">
      <c r="A168" s="68">
        <v>3</v>
      </c>
      <c r="B168" s="68">
        <v>8</v>
      </c>
      <c r="C168" s="68" t="s">
        <v>1777</v>
      </c>
      <c r="D168" s="68">
        <v>2</v>
      </c>
      <c r="E168" s="68" t="str">
        <f t="shared" si="2"/>
        <v>8::Mobile app development::2::- Develop a partially complete application to include additional functionality</v>
      </c>
      <c r="F168" s="68" t="s">
        <v>1785</v>
      </c>
      <c r="G168" s="68" t="s">
        <v>1779</v>
      </c>
      <c r="H168" s="68" t="s">
        <v>1781</v>
      </c>
      <c r="I168" s="68" t="s">
        <v>1087</v>
      </c>
    </row>
    <row r="169" spans="1:9" ht="13" x14ac:dyDescent="0.15">
      <c r="A169" s="68">
        <v>3</v>
      </c>
      <c r="B169" s="68">
        <v>8</v>
      </c>
      <c r="C169" s="68" t="s">
        <v>1777</v>
      </c>
      <c r="D169" s="68">
        <v>3</v>
      </c>
      <c r="E169" s="68" t="str">
        <f t="shared" si="2"/>
        <v>8::Mobile app development::3::- Identify and fix common coding errors</v>
      </c>
      <c r="F169" s="68" t="s">
        <v>1786</v>
      </c>
      <c r="G169" s="68" t="s">
        <v>1779</v>
      </c>
      <c r="H169" s="68" t="s">
        <v>1309</v>
      </c>
      <c r="I169" s="68" t="s">
        <v>1087</v>
      </c>
    </row>
    <row r="170" spans="1:9" ht="13" x14ac:dyDescent="0.15">
      <c r="A170" s="68">
        <v>3</v>
      </c>
      <c r="B170" s="68">
        <v>8</v>
      </c>
      <c r="C170" s="68" t="s">
        <v>1777</v>
      </c>
      <c r="D170" s="68">
        <v>3</v>
      </c>
      <c r="E170" s="68" t="str">
        <f t="shared" si="2"/>
        <v>8::Mobile app development::3::- Pass the value of a variable into an object</v>
      </c>
      <c r="F170" s="68" t="s">
        <v>1787</v>
      </c>
      <c r="G170" s="68" t="s">
        <v>1779</v>
      </c>
      <c r="H170" s="68" t="s">
        <v>28</v>
      </c>
      <c r="I170" s="68" t="s">
        <v>1087</v>
      </c>
    </row>
    <row r="171" spans="1:9" ht="13" x14ac:dyDescent="0.15">
      <c r="A171" s="68">
        <v>3</v>
      </c>
      <c r="B171" s="68">
        <v>8</v>
      </c>
      <c r="C171" s="68" t="s">
        <v>1777</v>
      </c>
      <c r="D171" s="68">
        <v>3</v>
      </c>
      <c r="E171" s="68" t="str">
        <f t="shared" si="2"/>
        <v>8::Mobile app development::3::- Establish user needs when completing a creative project</v>
      </c>
      <c r="F171" s="68" t="s">
        <v>1788</v>
      </c>
      <c r="G171" s="68" t="s">
        <v>1779</v>
      </c>
      <c r="H171" s="68" t="s">
        <v>16</v>
      </c>
      <c r="I171" s="68" t="s">
        <v>1087</v>
      </c>
    </row>
    <row r="172" spans="1:9" ht="13" x14ac:dyDescent="0.15">
      <c r="A172" s="68">
        <v>3</v>
      </c>
      <c r="B172" s="68">
        <v>8</v>
      </c>
      <c r="C172" s="68" t="s">
        <v>1777</v>
      </c>
      <c r="D172" s="68">
        <v>4</v>
      </c>
      <c r="E172" s="68" t="str">
        <f t="shared" si="2"/>
        <v>8::Mobile app development::4::- Apply decomposition to break down a large problem into more manageable steps</v>
      </c>
      <c r="F172" s="68" t="s">
        <v>1789</v>
      </c>
      <c r="G172" s="68" t="s">
        <v>1779</v>
      </c>
      <c r="H172" s="68" t="s">
        <v>1139</v>
      </c>
      <c r="I172" s="68" t="s">
        <v>1087</v>
      </c>
    </row>
    <row r="173" spans="1:9" ht="13" x14ac:dyDescent="0.15">
      <c r="A173" s="68">
        <v>3</v>
      </c>
      <c r="B173" s="68">
        <v>8</v>
      </c>
      <c r="C173" s="68" t="s">
        <v>1777</v>
      </c>
      <c r="D173" s="68">
        <v>4</v>
      </c>
      <c r="E173" s="68" t="str">
        <f t="shared" si="2"/>
        <v>8::Mobile app development::4::- Use user input in a block-based programming language</v>
      </c>
      <c r="F173" s="68" t="s">
        <v>1790</v>
      </c>
      <c r="G173" s="68" t="s">
        <v>1779</v>
      </c>
      <c r="H173" s="68" t="s">
        <v>1309</v>
      </c>
      <c r="I173" s="68" t="s">
        <v>1087</v>
      </c>
    </row>
    <row r="174" spans="1:9" ht="13" x14ac:dyDescent="0.15">
      <c r="A174" s="68">
        <v>3</v>
      </c>
      <c r="B174" s="68">
        <v>8</v>
      </c>
      <c r="C174" s="68" t="s">
        <v>1777</v>
      </c>
      <c r="D174" s="68">
        <v>4</v>
      </c>
      <c r="E174" s="68" t="str">
        <f t="shared" si="2"/>
        <v>8::Mobile app development::4::- Use a block-based programming language to create a sequence</v>
      </c>
      <c r="F174" s="68" t="s">
        <v>1791</v>
      </c>
      <c r="G174" s="68" t="s">
        <v>1779</v>
      </c>
      <c r="H174" s="68" t="s">
        <v>1309</v>
      </c>
      <c r="I174" s="68" t="s">
        <v>1087</v>
      </c>
    </row>
    <row r="175" spans="1:9" ht="13" x14ac:dyDescent="0.15">
      <c r="A175" s="68">
        <v>3</v>
      </c>
      <c r="B175" s="68">
        <v>8</v>
      </c>
      <c r="C175" s="68" t="s">
        <v>1777</v>
      </c>
      <c r="D175" s="68">
        <v>4</v>
      </c>
      <c r="E175" s="68" t="str">
        <f t="shared" si="2"/>
        <v>8::Mobile app development::4::- Use variables in a block-based programming language</v>
      </c>
      <c r="F175" s="68" t="s">
        <v>1792</v>
      </c>
      <c r="G175" s="68" t="s">
        <v>1779</v>
      </c>
      <c r="H175" s="68" t="s">
        <v>1309</v>
      </c>
      <c r="I175" s="68" t="s">
        <v>1087</v>
      </c>
    </row>
    <row r="176" spans="1:9" ht="13" x14ac:dyDescent="0.15">
      <c r="A176" s="68">
        <v>3</v>
      </c>
      <c r="B176" s="68">
        <v>8</v>
      </c>
      <c r="C176" s="68" t="s">
        <v>1777</v>
      </c>
      <c r="D176" s="68">
        <v>5</v>
      </c>
      <c r="E176" s="68" t="str">
        <f t="shared" si="2"/>
        <v>8::Mobile app development::5::- Use a block-based programming language to include sequencing and selection</v>
      </c>
      <c r="F176" s="68" t="s">
        <v>1793</v>
      </c>
      <c r="G176" s="68" t="s">
        <v>1779</v>
      </c>
      <c r="H176" s="68" t="s">
        <v>1309</v>
      </c>
      <c r="I176" s="68" t="s">
        <v>1087</v>
      </c>
    </row>
    <row r="177" spans="1:9" ht="13" x14ac:dyDescent="0.15">
      <c r="A177" s="68">
        <v>3</v>
      </c>
      <c r="B177" s="68">
        <v>8</v>
      </c>
      <c r="C177" s="68" t="s">
        <v>1777</v>
      </c>
      <c r="D177" s="68">
        <v>5</v>
      </c>
      <c r="E177" s="68" t="str">
        <f t="shared" si="2"/>
        <v>8::Mobile app development::5::- Use user input in a block-based programming language</v>
      </c>
      <c r="F177" s="68" t="s">
        <v>1790</v>
      </c>
      <c r="G177" s="68" t="s">
        <v>1779</v>
      </c>
      <c r="H177" s="68" t="s">
        <v>1309</v>
      </c>
      <c r="I177" s="68" t="s">
        <v>1087</v>
      </c>
    </row>
    <row r="178" spans="1:9" ht="13" x14ac:dyDescent="0.15">
      <c r="A178" s="68">
        <v>3</v>
      </c>
      <c r="B178" s="68">
        <v>8</v>
      </c>
      <c r="C178" s="68" t="s">
        <v>1777</v>
      </c>
      <c r="D178" s="68">
        <v>5</v>
      </c>
      <c r="E178" s="68" t="str">
        <f t="shared" si="2"/>
        <v>8::Mobile app development::5::- Use variables in a block-based programming language</v>
      </c>
      <c r="F178" s="68" t="s">
        <v>1792</v>
      </c>
      <c r="G178" s="68" t="s">
        <v>1779</v>
      </c>
      <c r="H178" s="68" t="s">
        <v>1309</v>
      </c>
      <c r="I178" s="68" t="s">
        <v>1087</v>
      </c>
    </row>
    <row r="179" spans="1:9" ht="13" x14ac:dyDescent="0.15">
      <c r="A179" s="68">
        <v>3</v>
      </c>
      <c r="B179" s="68">
        <v>8</v>
      </c>
      <c r="C179" s="68" t="s">
        <v>1777</v>
      </c>
      <c r="D179" s="68">
        <v>5</v>
      </c>
      <c r="E179" s="68" t="str">
        <f t="shared" si="2"/>
        <v>8::Mobile app development::5::- Reflect and react to user feedback</v>
      </c>
      <c r="F179" s="68" t="s">
        <v>1794</v>
      </c>
      <c r="G179" s="68" t="s">
        <v>1779</v>
      </c>
      <c r="H179" s="68" t="s">
        <v>1154</v>
      </c>
      <c r="I179" s="68" t="s">
        <v>1087</v>
      </c>
    </row>
    <row r="180" spans="1:9" ht="13" x14ac:dyDescent="0.15">
      <c r="A180" s="68">
        <v>3</v>
      </c>
      <c r="B180" s="68">
        <v>8</v>
      </c>
      <c r="C180" s="68" t="s">
        <v>1777</v>
      </c>
      <c r="D180" s="68">
        <v>6</v>
      </c>
      <c r="E180" s="68" t="str">
        <f t="shared" si="2"/>
        <v>8::Mobile app development::6::- Use a block-based programming language to include sequencing and selection</v>
      </c>
      <c r="F180" s="68" t="s">
        <v>1793</v>
      </c>
      <c r="G180" s="68" t="s">
        <v>1779</v>
      </c>
      <c r="H180" s="68" t="s">
        <v>1309</v>
      </c>
      <c r="I180" s="68" t="s">
        <v>1087</v>
      </c>
    </row>
    <row r="181" spans="1:9" ht="13" x14ac:dyDescent="0.15">
      <c r="A181" s="68">
        <v>3</v>
      </c>
      <c r="B181" s="68">
        <v>8</v>
      </c>
      <c r="C181" s="68" t="s">
        <v>1777</v>
      </c>
      <c r="D181" s="68">
        <v>6</v>
      </c>
      <c r="E181" s="68" t="str">
        <f t="shared" si="2"/>
        <v>8::Mobile app development::6::- Use user input in a block-based programming language</v>
      </c>
      <c r="F181" s="68" t="s">
        <v>1790</v>
      </c>
      <c r="G181" s="68" t="s">
        <v>1779</v>
      </c>
      <c r="H181" s="68" t="s">
        <v>1309</v>
      </c>
      <c r="I181" s="68" t="s">
        <v>1087</v>
      </c>
    </row>
    <row r="182" spans="1:9" ht="13" x14ac:dyDescent="0.15">
      <c r="A182" s="68">
        <v>3</v>
      </c>
      <c r="B182" s="68">
        <v>8</v>
      </c>
      <c r="C182" s="68" t="s">
        <v>1777</v>
      </c>
      <c r="D182" s="68">
        <v>6</v>
      </c>
      <c r="E182" s="68" t="str">
        <f t="shared" si="2"/>
        <v>8::Mobile app development::6::- Use variables in a block-based programming language</v>
      </c>
      <c r="F182" s="68" t="s">
        <v>1792</v>
      </c>
      <c r="G182" s="68" t="s">
        <v>1779</v>
      </c>
      <c r="H182" s="68" t="s">
        <v>1309</v>
      </c>
      <c r="I182" s="68" t="s">
        <v>1087</v>
      </c>
    </row>
    <row r="183" spans="1:9" ht="13" x14ac:dyDescent="0.15">
      <c r="A183" s="68">
        <v>3</v>
      </c>
      <c r="B183" s="68">
        <v>8</v>
      </c>
      <c r="C183" s="68" t="s">
        <v>1777</v>
      </c>
      <c r="D183" s="68">
        <v>6</v>
      </c>
      <c r="E183" s="68" t="str">
        <f t="shared" si="2"/>
        <v>8::Mobile app development::6::- Evaluate the success of the programming project</v>
      </c>
      <c r="F183" s="68" t="s">
        <v>1795</v>
      </c>
      <c r="G183" s="68" t="s">
        <v>1779</v>
      </c>
      <c r="H183" s="68" t="s">
        <v>1154</v>
      </c>
      <c r="I183" s="68" t="s">
        <v>1087</v>
      </c>
    </row>
    <row r="184" spans="1:9" ht="13" x14ac:dyDescent="0.15">
      <c r="A184" s="68">
        <v>3</v>
      </c>
      <c r="B184" s="68">
        <v>8</v>
      </c>
      <c r="C184" s="68" t="s">
        <v>1796</v>
      </c>
      <c r="D184" s="68">
        <v>1</v>
      </c>
      <c r="E184" s="68" t="str">
        <f t="shared" si="2"/>
        <v>8::Representations – from clay to silicon::1::- List examples of representations</v>
      </c>
      <c r="F184" s="68" t="s">
        <v>1797</v>
      </c>
      <c r="G184" s="68">
        <v>3.6</v>
      </c>
      <c r="H184" s="68" t="s">
        <v>13</v>
      </c>
      <c r="I184" s="68" t="s">
        <v>1087</v>
      </c>
    </row>
    <row r="185" spans="1:9" ht="13" x14ac:dyDescent="0.15">
      <c r="A185" s="68">
        <v>3</v>
      </c>
      <c r="B185" s="68">
        <v>8</v>
      </c>
      <c r="C185" s="68" t="s">
        <v>1796</v>
      </c>
      <c r="D185" s="68">
        <v>1</v>
      </c>
      <c r="E185" s="68" t="str">
        <f t="shared" si="2"/>
        <v>8::Representations – from clay to silicon::1::- Recall that representations are used to store, communicate, and process information</v>
      </c>
      <c r="F185" s="68" t="s">
        <v>1798</v>
      </c>
      <c r="G185" s="68">
        <v>3.6</v>
      </c>
      <c r="H185" s="68" t="s">
        <v>13</v>
      </c>
      <c r="I185" s="68" t="s">
        <v>1087</v>
      </c>
    </row>
    <row r="186" spans="1:9" ht="13" x14ac:dyDescent="0.15">
      <c r="A186" s="68">
        <v>3</v>
      </c>
      <c r="B186" s="68">
        <v>8</v>
      </c>
      <c r="C186" s="68" t="s">
        <v>1796</v>
      </c>
      <c r="D186" s="68">
        <v>1</v>
      </c>
      <c r="E186" s="68" t="str">
        <f t="shared" si="2"/>
        <v>8::Representations – from clay to silicon::1::- Provide examples of how different representations are appropriate for different tasks</v>
      </c>
      <c r="F186" s="68" t="s">
        <v>1799</v>
      </c>
      <c r="G186" s="68">
        <v>3.6</v>
      </c>
      <c r="H186" s="68" t="s">
        <v>13</v>
      </c>
      <c r="I186" s="68" t="s">
        <v>1087</v>
      </c>
    </row>
    <row r="187" spans="1:9" ht="13" x14ac:dyDescent="0.15">
      <c r="A187" s="68">
        <v>3</v>
      </c>
      <c r="B187" s="68">
        <v>8</v>
      </c>
      <c r="C187" s="68" t="s">
        <v>1796</v>
      </c>
      <c r="D187" s="68">
        <v>2</v>
      </c>
      <c r="E187" s="68" t="str">
        <f t="shared" si="2"/>
        <v>8::Representations – from clay to silicon::2::- Recall that characters can be represented as sequences of symbols and list examples of character coding schemes</v>
      </c>
      <c r="F187" s="68" t="s">
        <v>1800</v>
      </c>
      <c r="G187" s="68">
        <v>3.6</v>
      </c>
      <c r="H187" s="68" t="s">
        <v>13</v>
      </c>
      <c r="I187" s="68" t="s">
        <v>1087</v>
      </c>
    </row>
    <row r="188" spans="1:9" ht="13" x14ac:dyDescent="0.15">
      <c r="A188" s="68">
        <v>3</v>
      </c>
      <c r="B188" s="68">
        <v>8</v>
      </c>
      <c r="C188" s="68" t="s">
        <v>1796</v>
      </c>
      <c r="D188" s="68">
        <v>2</v>
      </c>
      <c r="E188" s="68" t="str">
        <f t="shared" si="2"/>
        <v>8::Representations – from clay to silicon::2::- Measure the length of a representation as the number of symbols that it contains</v>
      </c>
      <c r="F188" s="68" t="s">
        <v>1801</v>
      </c>
      <c r="G188" s="68">
        <v>3.6</v>
      </c>
      <c r="H188" s="68" t="s">
        <v>13</v>
      </c>
      <c r="I188" s="68" t="s">
        <v>1087</v>
      </c>
    </row>
    <row r="189" spans="1:9" ht="13" x14ac:dyDescent="0.15">
      <c r="A189" s="68">
        <v>3</v>
      </c>
      <c r="B189" s="68">
        <v>8</v>
      </c>
      <c r="C189" s="68" t="s">
        <v>1796</v>
      </c>
      <c r="D189" s="68">
        <v>2</v>
      </c>
      <c r="E189" s="68" t="str">
        <f t="shared" si="2"/>
        <v>8::Representations – from clay to silicon::2::- Provide examples of how symbols are carried on physical media</v>
      </c>
      <c r="F189" s="68" t="s">
        <v>1802</v>
      </c>
      <c r="G189" s="68">
        <v>3.6</v>
      </c>
      <c r="H189" s="68" t="s">
        <v>1356</v>
      </c>
      <c r="I189" s="68" t="s">
        <v>1087</v>
      </c>
    </row>
    <row r="190" spans="1:9" ht="13" x14ac:dyDescent="0.15">
      <c r="A190" s="68">
        <v>3</v>
      </c>
      <c r="B190" s="68">
        <v>8</v>
      </c>
      <c r="C190" s="68" t="s">
        <v>1796</v>
      </c>
      <c r="D190" s="68">
        <v>3</v>
      </c>
      <c r="E190" s="68" t="str">
        <f t="shared" si="2"/>
        <v>8::Representations – from clay to silicon::3::- Explain what binary digits (bits) are, in terms of familiar symbols such as digits or letters</v>
      </c>
      <c r="F190" s="68" t="s">
        <v>1803</v>
      </c>
      <c r="G190" s="68">
        <v>3.6</v>
      </c>
      <c r="H190" s="68" t="s">
        <v>13</v>
      </c>
      <c r="I190" s="68" t="s">
        <v>1087</v>
      </c>
    </row>
    <row r="191" spans="1:9" ht="13" x14ac:dyDescent="0.15">
      <c r="A191" s="68">
        <v>3</v>
      </c>
      <c r="B191" s="68">
        <v>8</v>
      </c>
      <c r="C191" s="68" t="s">
        <v>1796</v>
      </c>
      <c r="D191" s="68">
        <v>3</v>
      </c>
      <c r="E191" s="68" t="str">
        <f t="shared" si="2"/>
        <v>8::Representations – from clay to silicon::3::- Measure the size or length of a sequence of bits as the number of binary digits that it contains</v>
      </c>
      <c r="F191" s="68" t="s">
        <v>1804</v>
      </c>
      <c r="G191" s="68">
        <v>3.6</v>
      </c>
      <c r="H191" s="68" t="s">
        <v>13</v>
      </c>
      <c r="I191" s="68" t="s">
        <v>1087</v>
      </c>
    </row>
    <row r="192" spans="1:9" ht="13" x14ac:dyDescent="0.15">
      <c r="A192" s="68">
        <v>3</v>
      </c>
      <c r="B192" s="68">
        <v>8</v>
      </c>
      <c r="C192" s="68" t="s">
        <v>1796</v>
      </c>
      <c r="D192" s="68">
        <v>4</v>
      </c>
      <c r="E192" s="68" t="str">
        <f t="shared" si="2"/>
        <v>8::Representations – from clay to silicon::4::- Describe how natural numbers are represented as sequences of binary digits</v>
      </c>
      <c r="F192" s="68" t="s">
        <v>1805</v>
      </c>
      <c r="G192" s="68">
        <v>3.6</v>
      </c>
      <c r="H192" s="68" t="s">
        <v>13</v>
      </c>
      <c r="I192" s="68" t="s">
        <v>1087</v>
      </c>
    </row>
    <row r="193" spans="1:9" ht="13" x14ac:dyDescent="0.15">
      <c r="A193" s="68">
        <v>3</v>
      </c>
      <c r="B193" s="68">
        <v>8</v>
      </c>
      <c r="C193" s="68" t="s">
        <v>1796</v>
      </c>
      <c r="D193" s="68">
        <v>4</v>
      </c>
      <c r="E193" s="68" t="str">
        <f t="shared" si="2"/>
        <v>8::Representations – from clay to silicon::4::- Convert a decimal number to binary and vice versa</v>
      </c>
      <c r="F193" s="68" t="s">
        <v>1806</v>
      </c>
      <c r="G193" s="68">
        <v>3.6</v>
      </c>
      <c r="H193" s="68" t="s">
        <v>13</v>
      </c>
      <c r="I193" s="68" t="s">
        <v>1087</v>
      </c>
    </row>
    <row r="194" spans="1:9" ht="13" x14ac:dyDescent="0.15">
      <c r="A194" s="68">
        <v>3</v>
      </c>
      <c r="B194" s="68">
        <v>8</v>
      </c>
      <c r="C194" s="68" t="s">
        <v>1796</v>
      </c>
      <c r="D194" s="68">
        <v>5</v>
      </c>
      <c r="E194" s="68" t="str">
        <f t="shared" ref="E194:E257" si="3">B194&amp;"::"&amp;C194&amp;"::"&amp;D194&amp;"::"&amp;F194</f>
        <v>8::Representations – from clay to silicon::5::- Convert between different units and multiples of representation size</v>
      </c>
      <c r="F194" s="68" t="s">
        <v>1807</v>
      </c>
      <c r="G194" s="68">
        <v>3.6</v>
      </c>
      <c r="H194" s="68" t="s">
        <v>13</v>
      </c>
      <c r="I194" s="68" t="s">
        <v>1087</v>
      </c>
    </row>
    <row r="195" spans="1:9" ht="13" x14ac:dyDescent="0.15">
      <c r="A195" s="68">
        <v>3</v>
      </c>
      <c r="B195" s="68">
        <v>8</v>
      </c>
      <c r="C195" s="68" t="s">
        <v>1796</v>
      </c>
      <c r="D195" s="68">
        <v>5</v>
      </c>
      <c r="E195" s="68" t="str">
        <f t="shared" si="3"/>
        <v>8::Representations – from clay to silicon::5::- Provide examples of the different ways that binary digits are physically represented in digital devices</v>
      </c>
      <c r="F195" s="68" t="s">
        <v>1808</v>
      </c>
      <c r="G195" s="68">
        <v>3.6</v>
      </c>
      <c r="H195" s="68" t="s">
        <v>1356</v>
      </c>
      <c r="I195" s="68" t="s">
        <v>1087</v>
      </c>
    </row>
    <row r="196" spans="1:9" ht="13" x14ac:dyDescent="0.15">
      <c r="A196" s="68">
        <v>3</v>
      </c>
      <c r="B196" s="68">
        <v>8</v>
      </c>
      <c r="C196" s="68" t="s">
        <v>1796</v>
      </c>
      <c r="D196" s="68">
        <v>6</v>
      </c>
      <c r="E196" s="68" t="str">
        <f t="shared" si="3"/>
        <v>8::Representations – from clay to silicon::6::- Apply all of the skills covered in this unit</v>
      </c>
      <c r="F196" s="68" t="s">
        <v>1809</v>
      </c>
      <c r="G196" s="68">
        <v>3.6</v>
      </c>
      <c r="H196" s="68" t="s">
        <v>1356</v>
      </c>
      <c r="I196" s="68" t="s">
        <v>1087</v>
      </c>
    </row>
    <row r="197" spans="1:9" ht="13" x14ac:dyDescent="0.15">
      <c r="A197" s="68">
        <v>3</v>
      </c>
      <c r="B197" s="68">
        <v>9</v>
      </c>
      <c r="C197" s="68" t="s">
        <v>528</v>
      </c>
      <c r="D197" s="68">
        <v>1</v>
      </c>
      <c r="E197" s="68" t="str">
        <f t="shared" si="3"/>
        <v>9::Cybersecurity::1::- Explain the difference between data and information</v>
      </c>
      <c r="F197" s="68" t="s">
        <v>1617</v>
      </c>
      <c r="G197" s="68">
        <v>3.9</v>
      </c>
      <c r="H197" s="68" t="s">
        <v>13</v>
      </c>
      <c r="I197" s="68" t="s">
        <v>61</v>
      </c>
    </row>
    <row r="198" spans="1:9" ht="13" x14ac:dyDescent="0.15">
      <c r="A198" s="68">
        <v>3</v>
      </c>
      <c r="B198" s="68">
        <v>9</v>
      </c>
      <c r="C198" s="68" t="s">
        <v>528</v>
      </c>
      <c r="D198" s="68">
        <v>1</v>
      </c>
      <c r="E198" s="68" t="str">
        <f t="shared" si="3"/>
        <v>9::Cybersecurity::1::- Critique online services in relation to data privacy</v>
      </c>
      <c r="F198" s="68" t="s">
        <v>1810</v>
      </c>
      <c r="G198" s="68">
        <v>3.9</v>
      </c>
      <c r="H198" s="68" t="s">
        <v>1811</v>
      </c>
      <c r="I198" s="68" t="s">
        <v>61</v>
      </c>
    </row>
    <row r="199" spans="1:9" ht="13" x14ac:dyDescent="0.15">
      <c r="A199" s="68">
        <v>3</v>
      </c>
      <c r="B199" s="68">
        <v>9</v>
      </c>
      <c r="C199" s="68" t="s">
        <v>528</v>
      </c>
      <c r="D199" s="68">
        <v>1</v>
      </c>
      <c r="E199" s="68" t="str">
        <f t="shared" si="3"/>
        <v>9::Cybersecurity::1::- Identify what happens to data entered online</v>
      </c>
      <c r="F199" s="68" t="s">
        <v>1812</v>
      </c>
      <c r="G199" s="68">
        <v>3.9</v>
      </c>
      <c r="H199" s="68" t="s">
        <v>1813</v>
      </c>
      <c r="I199" s="68" t="s">
        <v>61</v>
      </c>
    </row>
    <row r="200" spans="1:9" ht="13" x14ac:dyDescent="0.15">
      <c r="A200" s="68">
        <v>3</v>
      </c>
      <c r="B200" s="68">
        <v>9</v>
      </c>
      <c r="C200" s="68" t="s">
        <v>528</v>
      </c>
      <c r="D200" s="68">
        <v>1</v>
      </c>
      <c r="E200" s="68" t="str">
        <f t="shared" si="3"/>
        <v>9::Cybersecurity::1::- Explain the need for the Data Protection Act</v>
      </c>
      <c r="F200" s="68" t="s">
        <v>1814</v>
      </c>
      <c r="G200" s="68">
        <v>3.9</v>
      </c>
      <c r="H200" s="68" t="s">
        <v>1815</v>
      </c>
      <c r="I200" s="68" t="s">
        <v>61</v>
      </c>
    </row>
    <row r="201" spans="1:9" ht="13" x14ac:dyDescent="0.15">
      <c r="A201" s="68">
        <v>3</v>
      </c>
      <c r="B201" s="68">
        <v>9</v>
      </c>
      <c r="C201" s="68" t="s">
        <v>528</v>
      </c>
      <c r="D201" s="68">
        <v>2</v>
      </c>
      <c r="E201" s="68" t="str">
        <f t="shared" si="3"/>
        <v>9::Cybersecurity::2::- Recognise how human errors pose security risks to data</v>
      </c>
      <c r="F201" s="68" t="s">
        <v>1816</v>
      </c>
      <c r="G201" s="68">
        <v>3.9</v>
      </c>
      <c r="H201" s="68" t="s">
        <v>1817</v>
      </c>
      <c r="I201" s="68" t="s">
        <v>61</v>
      </c>
    </row>
    <row r="202" spans="1:9" ht="13" x14ac:dyDescent="0.15">
      <c r="A202" s="68">
        <v>3</v>
      </c>
      <c r="B202" s="68">
        <v>9</v>
      </c>
      <c r="C202" s="68" t="s">
        <v>528</v>
      </c>
      <c r="D202" s="68">
        <v>2</v>
      </c>
      <c r="E202" s="68" t="str">
        <f t="shared" si="3"/>
        <v>9::Cybersecurity::2::- Implement strategies to minimise the risk of data being compromised through human error</v>
      </c>
      <c r="F202" s="68" t="s">
        <v>1818</v>
      </c>
      <c r="G202" s="68">
        <v>3.9</v>
      </c>
      <c r="H202" s="68" t="s">
        <v>1817</v>
      </c>
      <c r="I202" s="68" t="s">
        <v>61</v>
      </c>
    </row>
    <row r="203" spans="1:9" ht="13" x14ac:dyDescent="0.15">
      <c r="A203" s="68">
        <v>3</v>
      </c>
      <c r="B203" s="68">
        <v>9</v>
      </c>
      <c r="C203" s="68" t="s">
        <v>528</v>
      </c>
      <c r="D203" s="68">
        <v>3</v>
      </c>
      <c r="E203" s="68" t="str">
        <f t="shared" si="3"/>
        <v>9::Cybersecurity::3::- Define hacking in the context of cyber security</v>
      </c>
      <c r="F203" s="68" t="s">
        <v>1819</v>
      </c>
      <c r="G203" s="68">
        <v>3.9</v>
      </c>
      <c r="H203" s="68" t="s">
        <v>1820</v>
      </c>
      <c r="I203" s="68" t="s">
        <v>61</v>
      </c>
    </row>
    <row r="204" spans="1:9" ht="13" x14ac:dyDescent="0.15">
      <c r="A204" s="68">
        <v>3</v>
      </c>
      <c r="B204" s="68">
        <v>9</v>
      </c>
      <c r="C204" s="68" t="s">
        <v>528</v>
      </c>
      <c r="D204" s="68">
        <v>3</v>
      </c>
      <c r="E204" s="68" t="str">
        <f t="shared" si="3"/>
        <v>9::Cybersecurity::3::- Explain how a DDoS attack can impact users of online services</v>
      </c>
      <c r="F204" s="68" t="s">
        <v>1821</v>
      </c>
      <c r="G204" s="68">
        <v>3.9</v>
      </c>
      <c r="H204" s="68" t="s">
        <v>1351</v>
      </c>
      <c r="I204" s="68" t="s">
        <v>61</v>
      </c>
    </row>
    <row r="205" spans="1:9" ht="13" x14ac:dyDescent="0.15">
      <c r="A205" s="68">
        <v>3</v>
      </c>
      <c r="B205" s="68">
        <v>9</v>
      </c>
      <c r="C205" s="68" t="s">
        <v>528</v>
      </c>
      <c r="D205" s="68">
        <v>3</v>
      </c>
      <c r="E205" s="68" t="str">
        <f t="shared" si="3"/>
        <v>9::Cybersecurity::3::- Identify strategies to reduce the chance of a brute force attack being successful</v>
      </c>
      <c r="F205" s="68" t="s">
        <v>1822</v>
      </c>
      <c r="G205" s="68">
        <v>3.9</v>
      </c>
      <c r="H205" s="68" t="s">
        <v>1823</v>
      </c>
      <c r="I205" s="68" t="s">
        <v>61</v>
      </c>
    </row>
    <row r="206" spans="1:9" ht="13" x14ac:dyDescent="0.15">
      <c r="A206" s="68">
        <v>3</v>
      </c>
      <c r="B206" s="68">
        <v>9</v>
      </c>
      <c r="C206" s="68" t="s">
        <v>528</v>
      </c>
      <c r="D206" s="68">
        <v>3</v>
      </c>
      <c r="E206" s="68" t="str">
        <f t="shared" si="3"/>
        <v>9::Cybersecurity::3::- Explain the need for the Computer Misuse Act</v>
      </c>
      <c r="F206" s="68" t="s">
        <v>1824</v>
      </c>
      <c r="G206" s="68">
        <v>3.9</v>
      </c>
      <c r="H206" s="68" t="s">
        <v>1608</v>
      </c>
      <c r="I206" s="68" t="s">
        <v>61</v>
      </c>
    </row>
    <row r="207" spans="1:9" ht="13" x14ac:dyDescent="0.15">
      <c r="A207" s="68">
        <v>3</v>
      </c>
      <c r="B207" s="68">
        <v>9</v>
      </c>
      <c r="C207" s="68" t="s">
        <v>528</v>
      </c>
      <c r="D207" s="68">
        <v>4</v>
      </c>
      <c r="E207" s="68" t="str">
        <f t="shared" si="3"/>
        <v>9::Cybersecurity::4::- List the common malware threats</v>
      </c>
      <c r="F207" s="68" t="s">
        <v>1825</v>
      </c>
      <c r="G207" s="68">
        <v>3.9</v>
      </c>
      <c r="H207" s="68" t="s">
        <v>1826</v>
      </c>
      <c r="I207" s="68" t="s">
        <v>61</v>
      </c>
    </row>
    <row r="208" spans="1:9" ht="13" x14ac:dyDescent="0.15">
      <c r="A208" s="68">
        <v>3</v>
      </c>
      <c r="B208" s="68">
        <v>9</v>
      </c>
      <c r="C208" s="68" t="s">
        <v>528</v>
      </c>
      <c r="D208" s="68">
        <v>4</v>
      </c>
      <c r="E208" s="68" t="str">
        <f t="shared" si="3"/>
        <v>9::Cybersecurity::4::- Examine how different types of malware causes problems for computer systems</v>
      </c>
      <c r="F208" s="68" t="s">
        <v>1827</v>
      </c>
      <c r="G208" s="68">
        <v>3.9</v>
      </c>
      <c r="H208" s="68" t="s">
        <v>1826</v>
      </c>
      <c r="I208" s="68" t="s">
        <v>61</v>
      </c>
    </row>
    <row r="209" spans="1:9" ht="13" x14ac:dyDescent="0.15">
      <c r="A209" s="68">
        <v>3</v>
      </c>
      <c r="B209" s="68">
        <v>9</v>
      </c>
      <c r="C209" s="68" t="s">
        <v>528</v>
      </c>
      <c r="D209" s="68">
        <v>4</v>
      </c>
      <c r="E209" s="68" t="str">
        <f t="shared" si="3"/>
        <v>9::Cybersecurity::4::- Question how malicious bots can have an impact on societal issues</v>
      </c>
      <c r="F209" s="68" t="s">
        <v>1828</v>
      </c>
      <c r="G209" s="68">
        <v>3.9</v>
      </c>
      <c r="H209" s="68" t="s">
        <v>22</v>
      </c>
      <c r="I209" s="68" t="s">
        <v>61</v>
      </c>
    </row>
    <row r="210" spans="1:9" ht="13" x14ac:dyDescent="0.15">
      <c r="A210" s="68">
        <v>3</v>
      </c>
      <c r="B210" s="68">
        <v>9</v>
      </c>
      <c r="C210" s="68" t="s">
        <v>528</v>
      </c>
      <c r="D210" s="68">
        <v>5</v>
      </c>
      <c r="E210" s="68" t="str">
        <f t="shared" si="3"/>
        <v>9::Cybersecurity::5::- Compare security threats against probability and the potential impact to organisations</v>
      </c>
      <c r="F210" s="68" t="s">
        <v>1829</v>
      </c>
      <c r="G210" s="68">
        <v>3.9</v>
      </c>
      <c r="H210" s="68" t="s">
        <v>1608</v>
      </c>
      <c r="I210" s="68" t="s">
        <v>61</v>
      </c>
    </row>
    <row r="211" spans="1:9" ht="13" x14ac:dyDescent="0.15">
      <c r="A211" s="68">
        <v>3</v>
      </c>
      <c r="B211" s="68">
        <v>9</v>
      </c>
      <c r="C211" s="68" t="s">
        <v>528</v>
      </c>
      <c r="D211" s="68">
        <v>5</v>
      </c>
      <c r="E211" s="68" t="str">
        <f t="shared" si="3"/>
        <v>9::Cybersecurity::5::- Explain how networks can be protected from common security threats</v>
      </c>
      <c r="F211" s="68" t="s">
        <v>1830</v>
      </c>
      <c r="G211" s="68">
        <v>3.9</v>
      </c>
      <c r="H211" s="68" t="s">
        <v>1338</v>
      </c>
      <c r="I211" s="68" t="s">
        <v>61</v>
      </c>
    </row>
    <row r="212" spans="1:9" ht="13" x14ac:dyDescent="0.15">
      <c r="A212" s="68">
        <v>3</v>
      </c>
      <c r="B212" s="68">
        <v>9</v>
      </c>
      <c r="C212" s="68" t="s">
        <v>528</v>
      </c>
      <c r="D212" s="68">
        <v>6</v>
      </c>
      <c r="E212" s="68" t="str">
        <f t="shared" si="3"/>
        <v>9::Cybersecurity::6::- Identify the most effective methods to prevent cyberattacks</v>
      </c>
      <c r="F212" s="68" t="s">
        <v>1831</v>
      </c>
      <c r="G212" s="68">
        <v>3.9</v>
      </c>
      <c r="H212" s="68" t="s">
        <v>1600</v>
      </c>
      <c r="I212" s="68" t="s">
        <v>61</v>
      </c>
    </row>
    <row r="213" spans="1:9" ht="13" x14ac:dyDescent="0.15">
      <c r="A213" s="68">
        <v>3</v>
      </c>
      <c r="B213" s="68">
        <v>9</v>
      </c>
      <c r="C213" s="68" t="s">
        <v>1832</v>
      </c>
      <c r="D213" s="68">
        <v>1</v>
      </c>
      <c r="E213" s="68" t="str">
        <f t="shared" si="3"/>
        <v>9::Data science::1::- Define data science</v>
      </c>
      <c r="F213" s="68" t="s">
        <v>1833</v>
      </c>
      <c r="G213" s="68">
        <v>3.7</v>
      </c>
      <c r="H213" s="68" t="s">
        <v>13</v>
      </c>
      <c r="I213" s="68" t="s">
        <v>1087</v>
      </c>
    </row>
    <row r="214" spans="1:9" ht="13" x14ac:dyDescent="0.15">
      <c r="A214" s="68">
        <v>3</v>
      </c>
      <c r="B214" s="68">
        <v>9</v>
      </c>
      <c r="C214" s="68" t="s">
        <v>1832</v>
      </c>
      <c r="D214" s="68">
        <v>1</v>
      </c>
      <c r="E214" s="68" t="str">
        <f t="shared" si="3"/>
        <v>9::Data science::1::- Explain how visualising data can help identify patterns and trends in order to help us gain insights</v>
      </c>
      <c r="F214" s="68" t="s">
        <v>1834</v>
      </c>
      <c r="G214" s="68">
        <v>3.7</v>
      </c>
      <c r="H214" s="68" t="s">
        <v>13</v>
      </c>
      <c r="I214" s="68" t="s">
        <v>1087</v>
      </c>
    </row>
    <row r="215" spans="1:9" ht="13" x14ac:dyDescent="0.15">
      <c r="A215" s="68">
        <v>3</v>
      </c>
      <c r="B215" s="68">
        <v>9</v>
      </c>
      <c r="C215" s="68" t="s">
        <v>1832</v>
      </c>
      <c r="D215" s="68">
        <v>1</v>
      </c>
      <c r="E215" s="68" t="str">
        <f t="shared" si="3"/>
        <v>9::Data science::1::- Use an appropriate software tool to visualise data sets and look for patterns or trends</v>
      </c>
      <c r="F215" s="68" t="s">
        <v>1835</v>
      </c>
      <c r="G215" s="68">
        <v>3.7</v>
      </c>
      <c r="H215" s="68" t="s">
        <v>1208</v>
      </c>
      <c r="I215" s="68" t="s">
        <v>1087</v>
      </c>
    </row>
    <row r="216" spans="1:9" ht="13" x14ac:dyDescent="0.15">
      <c r="A216" s="68">
        <v>3</v>
      </c>
      <c r="B216" s="68">
        <v>9</v>
      </c>
      <c r="C216" s="68" t="s">
        <v>1832</v>
      </c>
      <c r="D216" s="68">
        <v>2</v>
      </c>
      <c r="E216" s="68" t="str">
        <f t="shared" si="3"/>
        <v>9::Data science::2::- Recognise examples of where large data sets are used in daily life</v>
      </c>
      <c r="F216" s="68" t="s">
        <v>1836</v>
      </c>
      <c r="G216" s="68">
        <v>3.7</v>
      </c>
      <c r="H216" s="68" t="s">
        <v>1837</v>
      </c>
      <c r="I216" s="68" t="s">
        <v>1087</v>
      </c>
    </row>
    <row r="217" spans="1:9" ht="13" x14ac:dyDescent="0.15">
      <c r="A217" s="68">
        <v>3</v>
      </c>
      <c r="B217" s="68">
        <v>9</v>
      </c>
      <c r="C217" s="68" t="s">
        <v>1832</v>
      </c>
      <c r="D217" s="68">
        <v>2</v>
      </c>
      <c r="E217" s="68" t="str">
        <f t="shared" si="3"/>
        <v>9::Data science::2::- Select criteria and use data set to investigate predictions</v>
      </c>
      <c r="F217" s="68" t="s">
        <v>1838</v>
      </c>
      <c r="G217" s="68">
        <v>3.7</v>
      </c>
      <c r="H217" s="68" t="s">
        <v>1304</v>
      </c>
      <c r="I217" s="68" t="s">
        <v>1087</v>
      </c>
    </row>
    <row r="218" spans="1:9" ht="13" x14ac:dyDescent="0.15">
      <c r="A218" s="68">
        <v>3</v>
      </c>
      <c r="B218" s="68">
        <v>9</v>
      </c>
      <c r="C218" s="68" t="s">
        <v>1832</v>
      </c>
      <c r="D218" s="68">
        <v>2</v>
      </c>
      <c r="E218" s="68" t="str">
        <f t="shared" si="3"/>
        <v>9::Data science::2::- Evaluate findings to support arguments for or against a prediction</v>
      </c>
      <c r="F218" s="68" t="s">
        <v>1839</v>
      </c>
      <c r="G218" s="68">
        <v>3.7</v>
      </c>
      <c r="H218" s="68" t="s">
        <v>1304</v>
      </c>
      <c r="I218" s="68" t="s">
        <v>1087</v>
      </c>
    </row>
    <row r="219" spans="1:9" ht="13" x14ac:dyDescent="0.15">
      <c r="A219" s="68">
        <v>3</v>
      </c>
      <c r="B219" s="68">
        <v>9</v>
      </c>
      <c r="C219" s="68" t="s">
        <v>1832</v>
      </c>
      <c r="D219" s="68">
        <v>3</v>
      </c>
      <c r="E219" s="68" t="str">
        <f t="shared" si="3"/>
        <v>9::Data science::3::- Define the terms ‘correlation’ and ‘outliers’ in relation to data trends</v>
      </c>
      <c r="F219" s="68" t="s">
        <v>1840</v>
      </c>
      <c r="G219" s="68">
        <v>3.7</v>
      </c>
      <c r="H219" s="68" t="s">
        <v>13</v>
      </c>
      <c r="I219" s="68" t="s">
        <v>1087</v>
      </c>
    </row>
    <row r="220" spans="1:9" ht="13" x14ac:dyDescent="0.15">
      <c r="A220" s="68">
        <v>3</v>
      </c>
      <c r="B220" s="68">
        <v>9</v>
      </c>
      <c r="C220" s="68" t="s">
        <v>1832</v>
      </c>
      <c r="D220" s="68">
        <v>3</v>
      </c>
      <c r="E220" s="68" t="str">
        <f t="shared" si="3"/>
        <v>9::Data science::3::- Identify the steps of the investigative cycle</v>
      </c>
      <c r="F220" s="68" t="s">
        <v>1841</v>
      </c>
      <c r="G220" s="68">
        <v>3.7</v>
      </c>
      <c r="H220" s="68" t="s">
        <v>1304</v>
      </c>
      <c r="I220" s="68" t="s">
        <v>1087</v>
      </c>
    </row>
    <row r="221" spans="1:9" ht="13" x14ac:dyDescent="0.15">
      <c r="A221" s="68">
        <v>3</v>
      </c>
      <c r="B221" s="68">
        <v>9</v>
      </c>
      <c r="C221" s="68" t="s">
        <v>1832</v>
      </c>
      <c r="D221" s="68">
        <v>3</v>
      </c>
      <c r="E221" s="68" t="str">
        <f t="shared" si="3"/>
        <v>9::Data science::3::- Solve a problem by implementing steps of the investigative cycle on a data set</v>
      </c>
      <c r="F221" s="68" t="s">
        <v>1842</v>
      </c>
      <c r="G221" s="68">
        <v>3.7</v>
      </c>
      <c r="H221" s="68" t="s">
        <v>1304</v>
      </c>
      <c r="I221" s="68" t="s">
        <v>1087</v>
      </c>
    </row>
    <row r="222" spans="1:9" ht="13" x14ac:dyDescent="0.15">
      <c r="A222" s="68">
        <v>3</v>
      </c>
      <c r="B222" s="68">
        <v>9</v>
      </c>
      <c r="C222" s="68" t="s">
        <v>1832</v>
      </c>
      <c r="D222" s="68">
        <v>3</v>
      </c>
      <c r="E222" s="68" t="str">
        <f t="shared" si="3"/>
        <v>9::Data science::3::- Use findings to support a recommendation</v>
      </c>
      <c r="F222" s="68" t="s">
        <v>1843</v>
      </c>
      <c r="G222" s="68">
        <v>3.7</v>
      </c>
      <c r="H222" s="68" t="s">
        <v>1837</v>
      </c>
      <c r="I222" s="68" t="s">
        <v>1087</v>
      </c>
    </row>
    <row r="223" spans="1:9" ht="13" x14ac:dyDescent="0.15">
      <c r="A223" s="68">
        <v>3</v>
      </c>
      <c r="B223" s="68">
        <v>9</v>
      </c>
      <c r="C223" s="68" t="s">
        <v>1832</v>
      </c>
      <c r="D223" s="68">
        <v>4</v>
      </c>
      <c r="E223" s="68" t="str">
        <f t="shared" si="3"/>
        <v>9::Data science::4::- Identify the steps of the investigative cycle</v>
      </c>
      <c r="F223" s="68" t="s">
        <v>1841</v>
      </c>
      <c r="G223" s="68">
        <v>3.7</v>
      </c>
      <c r="H223" s="68" t="s">
        <v>32</v>
      </c>
      <c r="I223" s="68" t="s">
        <v>1087</v>
      </c>
    </row>
    <row r="224" spans="1:9" ht="13" x14ac:dyDescent="0.15">
      <c r="A224" s="68">
        <v>3</v>
      </c>
      <c r="B224" s="68">
        <v>9</v>
      </c>
      <c r="C224" s="68" t="s">
        <v>1832</v>
      </c>
      <c r="D224" s="68">
        <v>4</v>
      </c>
      <c r="E224" s="68" t="str">
        <f t="shared" si="3"/>
        <v>9::Data science::4::- Identify the data needed to answer a question defined by the learner</v>
      </c>
      <c r="F224" s="68" t="s">
        <v>1844</v>
      </c>
      <c r="G224" s="68">
        <v>3.7</v>
      </c>
      <c r="H224" s="68" t="s">
        <v>1304</v>
      </c>
      <c r="I224" s="68" t="s">
        <v>1087</v>
      </c>
    </row>
    <row r="225" spans="1:9" ht="13" x14ac:dyDescent="0.15">
      <c r="A225" s="68">
        <v>3</v>
      </c>
      <c r="B225" s="68">
        <v>9</v>
      </c>
      <c r="C225" s="68" t="s">
        <v>1832</v>
      </c>
      <c r="D225" s="68">
        <v>4</v>
      </c>
      <c r="E225" s="68" t="str">
        <f t="shared" si="3"/>
        <v>9::Data science::4::- Create a data capture form</v>
      </c>
      <c r="F225" s="68" t="s">
        <v>1845</v>
      </c>
      <c r="G225" s="68">
        <v>3.7</v>
      </c>
      <c r="H225" s="68" t="s">
        <v>1197</v>
      </c>
      <c r="I225" s="68" t="s">
        <v>1087</v>
      </c>
    </row>
    <row r="226" spans="1:9" ht="13" x14ac:dyDescent="0.15">
      <c r="A226" s="68">
        <v>3</v>
      </c>
      <c r="B226" s="68">
        <v>9</v>
      </c>
      <c r="C226" s="68" t="s">
        <v>1832</v>
      </c>
      <c r="D226" s="68">
        <v>5</v>
      </c>
      <c r="E226" s="68" t="str">
        <f t="shared" si="3"/>
        <v>9::Data science::5::- Describe the need for data cleansing</v>
      </c>
      <c r="F226" s="68" t="s">
        <v>1846</v>
      </c>
      <c r="G226" s="68">
        <v>3.7</v>
      </c>
      <c r="H226" s="68" t="s">
        <v>1208</v>
      </c>
      <c r="I226" s="68" t="s">
        <v>1087</v>
      </c>
    </row>
    <row r="227" spans="1:9" ht="13" x14ac:dyDescent="0.15">
      <c r="A227" s="68">
        <v>3</v>
      </c>
      <c r="B227" s="68">
        <v>9</v>
      </c>
      <c r="C227" s="68" t="s">
        <v>1832</v>
      </c>
      <c r="D227" s="68">
        <v>5</v>
      </c>
      <c r="E227" s="68" t="str">
        <f t="shared" si="3"/>
        <v>9::Data science::5::- Apply data cleansing techniques to a data set</v>
      </c>
      <c r="F227" s="68" t="s">
        <v>1847</v>
      </c>
      <c r="G227" s="68">
        <v>3.7</v>
      </c>
      <c r="H227" s="68" t="s">
        <v>13</v>
      </c>
      <c r="I227" s="68" t="s">
        <v>1087</v>
      </c>
    </row>
    <row r="228" spans="1:9" ht="13" x14ac:dyDescent="0.15">
      <c r="A228" s="68">
        <v>3</v>
      </c>
      <c r="B228" s="68">
        <v>9</v>
      </c>
      <c r="C228" s="68" t="s">
        <v>1832</v>
      </c>
      <c r="D228" s="68">
        <v>5</v>
      </c>
      <c r="E228" s="68" t="str">
        <f t="shared" si="3"/>
        <v>9::Data science::5::- Visualise a data set</v>
      </c>
      <c r="F228" s="68" t="s">
        <v>1848</v>
      </c>
      <c r="G228" s="68">
        <v>3.7</v>
      </c>
      <c r="H228" s="68" t="s">
        <v>1208</v>
      </c>
      <c r="I228" s="68" t="s">
        <v>1087</v>
      </c>
    </row>
    <row r="229" spans="1:9" ht="13" x14ac:dyDescent="0.15">
      <c r="A229" s="68">
        <v>3</v>
      </c>
      <c r="B229" s="68">
        <v>9</v>
      </c>
      <c r="C229" s="68" t="s">
        <v>1832</v>
      </c>
      <c r="D229" s="68">
        <v>6</v>
      </c>
      <c r="E229" s="68" t="str">
        <f t="shared" si="3"/>
        <v>9::Data science::6::- Visualise a data set</v>
      </c>
      <c r="F229" s="68" t="s">
        <v>1848</v>
      </c>
      <c r="G229" s="68">
        <v>3.7</v>
      </c>
      <c r="H229" s="68" t="s">
        <v>1197</v>
      </c>
      <c r="I229" s="68" t="s">
        <v>1087</v>
      </c>
    </row>
    <row r="230" spans="1:9" ht="13" x14ac:dyDescent="0.15">
      <c r="A230" s="68">
        <v>3</v>
      </c>
      <c r="B230" s="68">
        <v>9</v>
      </c>
      <c r="C230" s="68" t="s">
        <v>1832</v>
      </c>
      <c r="D230" s="68">
        <v>6</v>
      </c>
      <c r="E230" s="68" t="str">
        <f t="shared" si="3"/>
        <v>9::Data science::6::- Analyse visualisations to identify patterns, trends, and outliers</v>
      </c>
      <c r="F230" s="68" t="s">
        <v>1849</v>
      </c>
      <c r="G230" s="68">
        <v>3.7</v>
      </c>
      <c r="H230" s="68" t="s">
        <v>13</v>
      </c>
      <c r="I230" s="68" t="s">
        <v>1087</v>
      </c>
    </row>
    <row r="231" spans="1:9" ht="13" x14ac:dyDescent="0.15">
      <c r="A231" s="68">
        <v>3</v>
      </c>
      <c r="B231" s="68">
        <v>9</v>
      </c>
      <c r="C231" s="68" t="s">
        <v>1832</v>
      </c>
      <c r="D231" s="68">
        <v>6</v>
      </c>
      <c r="E231" s="68" t="str">
        <f t="shared" si="3"/>
        <v>9::Data science::6::- Draw conclusions and report findings</v>
      </c>
      <c r="F231" s="68" t="s">
        <v>1850</v>
      </c>
      <c r="G231" s="68">
        <v>3.7</v>
      </c>
      <c r="H231" s="68" t="s">
        <v>1837</v>
      </c>
      <c r="I231" s="68" t="s">
        <v>1087</v>
      </c>
    </row>
    <row r="232" spans="1:9" ht="13" x14ac:dyDescent="0.15">
      <c r="A232" s="68">
        <v>3</v>
      </c>
      <c r="B232" s="68">
        <v>9</v>
      </c>
      <c r="C232" s="68" t="s">
        <v>1851</v>
      </c>
      <c r="D232" s="68">
        <v>1</v>
      </c>
      <c r="E232" s="68" t="str">
        <f t="shared" si="3"/>
        <v>9::Media – Animations::1::- Add, delete, and move objects</v>
      </c>
      <c r="F232" s="68" t="s">
        <v>1852</v>
      </c>
      <c r="G232" s="68">
        <v>3.8</v>
      </c>
      <c r="H232" s="68" t="s">
        <v>1086</v>
      </c>
      <c r="I232" s="68" t="s">
        <v>1087</v>
      </c>
    </row>
    <row r="233" spans="1:9" ht="13" x14ac:dyDescent="0.15">
      <c r="A233" s="68">
        <v>3</v>
      </c>
      <c r="B233" s="68">
        <v>9</v>
      </c>
      <c r="C233" s="68" t="s">
        <v>1851</v>
      </c>
      <c r="D233" s="68">
        <v>1</v>
      </c>
      <c r="E233" s="68" t="str">
        <f t="shared" si="3"/>
        <v>9::Media – Animations::1::- Scale and rotate objects</v>
      </c>
      <c r="F233" s="68" t="s">
        <v>1853</v>
      </c>
      <c r="G233" s="68">
        <v>3.8</v>
      </c>
      <c r="H233" s="68" t="s">
        <v>1086</v>
      </c>
      <c r="I233" s="68" t="s">
        <v>1087</v>
      </c>
    </row>
    <row r="234" spans="1:9" ht="13" x14ac:dyDescent="0.15">
      <c r="A234" s="68">
        <v>3</v>
      </c>
      <c r="B234" s="68">
        <v>9</v>
      </c>
      <c r="C234" s="68" t="s">
        <v>1851</v>
      </c>
      <c r="D234" s="68">
        <v>1</v>
      </c>
      <c r="E234" s="68" t="str">
        <f t="shared" si="3"/>
        <v>9::Media – Animations::1::- Use a material to add colour to objects</v>
      </c>
      <c r="F234" s="68" t="s">
        <v>1854</v>
      </c>
      <c r="G234" s="68">
        <v>3.8</v>
      </c>
      <c r="H234" s="68" t="s">
        <v>1086</v>
      </c>
      <c r="I234" s="68" t="s">
        <v>1087</v>
      </c>
    </row>
    <row r="235" spans="1:9" ht="13" x14ac:dyDescent="0.15">
      <c r="A235" s="68">
        <v>3</v>
      </c>
      <c r="B235" s="68">
        <v>9</v>
      </c>
      <c r="C235" s="68" t="s">
        <v>1851</v>
      </c>
      <c r="D235" s="68">
        <v>2</v>
      </c>
      <c r="E235" s="68" t="str">
        <f t="shared" si="3"/>
        <v>9::Media – Animations::2::- Add, move, and delete keyframes to make basic animations</v>
      </c>
      <c r="F235" s="68" t="s">
        <v>1855</v>
      </c>
      <c r="G235" s="68">
        <v>3.8</v>
      </c>
      <c r="H235" s="68" t="s">
        <v>1086</v>
      </c>
      <c r="I235" s="68" t="s">
        <v>1087</v>
      </c>
    </row>
    <row r="236" spans="1:9" ht="13" x14ac:dyDescent="0.15">
      <c r="A236" s="68">
        <v>3</v>
      </c>
      <c r="B236" s="68">
        <v>9</v>
      </c>
      <c r="C236" s="68" t="s">
        <v>1851</v>
      </c>
      <c r="D236" s="68">
        <v>2</v>
      </c>
      <c r="E236" s="68" t="str">
        <f t="shared" si="3"/>
        <v>9::Media – Animations::2::- Play, pause, and move through the animation using the timeline</v>
      </c>
      <c r="F236" s="68" t="s">
        <v>1856</v>
      </c>
      <c r="G236" s="68">
        <v>3.8</v>
      </c>
      <c r="H236" s="68" t="s">
        <v>1086</v>
      </c>
      <c r="I236" s="68" t="s">
        <v>1087</v>
      </c>
    </row>
    <row r="237" spans="1:9" ht="13" x14ac:dyDescent="0.15">
      <c r="A237" s="68">
        <v>3</v>
      </c>
      <c r="B237" s="68">
        <v>9</v>
      </c>
      <c r="C237" s="68" t="s">
        <v>1851</v>
      </c>
      <c r="D237" s="68">
        <v>2</v>
      </c>
      <c r="E237" s="68" t="str">
        <f t="shared" si="3"/>
        <v>9::Media – Animations::2::- Create useful names for objects</v>
      </c>
      <c r="F237" s="68" t="s">
        <v>1857</v>
      </c>
      <c r="G237" s="68">
        <v>3.8</v>
      </c>
      <c r="H237" s="68" t="s">
        <v>1086</v>
      </c>
      <c r="I237" s="68" t="s">
        <v>1087</v>
      </c>
    </row>
    <row r="238" spans="1:9" ht="13" x14ac:dyDescent="0.15">
      <c r="A238" s="68">
        <v>3</v>
      </c>
      <c r="B238" s="68">
        <v>9</v>
      </c>
      <c r="C238" s="68" t="s">
        <v>1851</v>
      </c>
      <c r="D238" s="68">
        <v>2</v>
      </c>
      <c r="E238" s="68" t="str">
        <f t="shared" si="3"/>
        <v>9::Media – Animations::2::- Join multiple objects together using parenting</v>
      </c>
      <c r="F238" s="68" t="s">
        <v>1858</v>
      </c>
      <c r="G238" s="68">
        <v>3.8</v>
      </c>
      <c r="H238" s="68" t="s">
        <v>1086</v>
      </c>
      <c r="I238" s="68" t="s">
        <v>1087</v>
      </c>
    </row>
    <row r="239" spans="1:9" ht="13" x14ac:dyDescent="0.15">
      <c r="A239" s="68">
        <v>3</v>
      </c>
      <c r="B239" s="68">
        <v>9</v>
      </c>
      <c r="C239" s="68" t="s">
        <v>1851</v>
      </c>
      <c r="D239" s="68">
        <v>3</v>
      </c>
      <c r="E239" s="68" t="str">
        <f t="shared" si="3"/>
        <v>9::Media – Animations::3::- Use edit mode and extrude</v>
      </c>
      <c r="F239" s="68" t="s">
        <v>1859</v>
      </c>
      <c r="G239" s="68">
        <v>3.8</v>
      </c>
      <c r="H239" s="68" t="s">
        <v>1086</v>
      </c>
      <c r="I239" s="68" t="s">
        <v>1087</v>
      </c>
    </row>
    <row r="240" spans="1:9" ht="13" x14ac:dyDescent="0.15">
      <c r="A240" s="68">
        <v>3</v>
      </c>
      <c r="B240" s="68">
        <v>9</v>
      </c>
      <c r="C240" s="68" t="s">
        <v>1851</v>
      </c>
      <c r="D240" s="68">
        <v>3</v>
      </c>
      <c r="E240" s="68" t="str">
        <f t="shared" si="3"/>
        <v>9::Media – Animations::3::- Use loop cut and face editing</v>
      </c>
      <c r="F240" s="68" t="s">
        <v>1860</v>
      </c>
      <c r="G240" s="68">
        <v>3.8</v>
      </c>
      <c r="H240" s="68" t="s">
        <v>1086</v>
      </c>
      <c r="I240" s="68" t="s">
        <v>1087</v>
      </c>
    </row>
    <row r="241" spans="1:9" ht="13" x14ac:dyDescent="0.15">
      <c r="A241" s="68">
        <v>3</v>
      </c>
      <c r="B241" s="68">
        <v>9</v>
      </c>
      <c r="C241" s="68" t="s">
        <v>1851</v>
      </c>
      <c r="D241" s="68">
        <v>3</v>
      </c>
      <c r="E241" s="68" t="str">
        <f t="shared" si="3"/>
        <v>9::Media – Animations::3::- Apply different colours to different parts of the same model</v>
      </c>
      <c r="F241" s="68" t="s">
        <v>1861</v>
      </c>
      <c r="G241" s="68">
        <v>3.8</v>
      </c>
      <c r="H241" s="68" t="s">
        <v>1086</v>
      </c>
      <c r="I241" s="68" t="s">
        <v>1087</v>
      </c>
    </row>
    <row r="242" spans="1:9" ht="13" x14ac:dyDescent="0.15">
      <c r="A242" s="68">
        <v>3</v>
      </c>
      <c r="B242" s="68">
        <v>9</v>
      </c>
      <c r="C242" s="68" t="s">
        <v>1851</v>
      </c>
      <c r="D242" s="68">
        <v>4</v>
      </c>
      <c r="E242" s="68" t="str">
        <f t="shared" si="3"/>
        <v>9::Media – Animations::4::- Use proportional editing</v>
      </c>
      <c r="F242" s="68" t="s">
        <v>1862</v>
      </c>
      <c r="G242" s="68">
        <v>3.8</v>
      </c>
      <c r="H242" s="68" t="s">
        <v>1086</v>
      </c>
      <c r="I242" s="68" t="s">
        <v>1087</v>
      </c>
    </row>
    <row r="243" spans="1:9" ht="13" x14ac:dyDescent="0.15">
      <c r="A243" s="68">
        <v>3</v>
      </c>
      <c r="B243" s="68">
        <v>9</v>
      </c>
      <c r="C243" s="68" t="s">
        <v>1851</v>
      </c>
      <c r="D243" s="68">
        <v>4</v>
      </c>
      <c r="E243" s="68" t="str">
        <f t="shared" si="3"/>
        <v>9::Media – Animations::4::- Use the knife tool</v>
      </c>
      <c r="F243" s="68" t="s">
        <v>1863</v>
      </c>
      <c r="G243" s="68">
        <v>3.8</v>
      </c>
      <c r="H243" s="68" t="s">
        <v>1086</v>
      </c>
      <c r="I243" s="68" t="s">
        <v>1087</v>
      </c>
    </row>
    <row r="244" spans="1:9" ht="13" x14ac:dyDescent="0.15">
      <c r="A244" s="68">
        <v>3</v>
      </c>
      <c r="B244" s="68">
        <v>9</v>
      </c>
      <c r="C244" s="68" t="s">
        <v>1851</v>
      </c>
      <c r="D244" s="68">
        <v>4</v>
      </c>
      <c r="E244" s="68" t="str">
        <f t="shared" si="3"/>
        <v>9::Media – Animations::4::- Use subdivision</v>
      </c>
      <c r="F244" s="68" t="s">
        <v>1864</v>
      </c>
      <c r="G244" s="68">
        <v>3.8</v>
      </c>
      <c r="H244" s="68" t="s">
        <v>1086</v>
      </c>
      <c r="I244" s="68" t="s">
        <v>1087</v>
      </c>
    </row>
    <row r="245" spans="1:9" ht="13" x14ac:dyDescent="0.15">
      <c r="A245" s="68">
        <v>3</v>
      </c>
      <c r="B245" s="68">
        <v>9</v>
      </c>
      <c r="C245" s="68" t="s">
        <v>1851</v>
      </c>
      <c r="D245" s="68">
        <v>5</v>
      </c>
      <c r="E245" s="68" t="str">
        <f t="shared" si="3"/>
        <v>9::Media – Animations::5::- Add and edit set lighting</v>
      </c>
      <c r="F245" s="68" t="s">
        <v>1865</v>
      </c>
      <c r="G245" s="68">
        <v>3.8</v>
      </c>
      <c r="H245" s="68" t="s">
        <v>1086</v>
      </c>
      <c r="I245" s="68" t="s">
        <v>1087</v>
      </c>
    </row>
    <row r="246" spans="1:9" ht="13" x14ac:dyDescent="0.15">
      <c r="A246" s="68">
        <v>3</v>
      </c>
      <c r="B246" s="68">
        <v>9</v>
      </c>
      <c r="C246" s="68" t="s">
        <v>1851</v>
      </c>
      <c r="D246" s="68">
        <v>5</v>
      </c>
      <c r="E246" s="68" t="str">
        <f t="shared" si="3"/>
        <v>9::Media – Animations::5::- Set up the camera</v>
      </c>
      <c r="F246" s="68" t="s">
        <v>1866</v>
      </c>
      <c r="G246" s="68">
        <v>3.8</v>
      </c>
      <c r="H246" s="68" t="s">
        <v>1086</v>
      </c>
      <c r="I246" s="68" t="s">
        <v>1087</v>
      </c>
    </row>
    <row r="247" spans="1:9" ht="13" x14ac:dyDescent="0.15">
      <c r="A247" s="68">
        <v>3</v>
      </c>
      <c r="B247" s="68">
        <v>9</v>
      </c>
      <c r="C247" s="68" t="s">
        <v>1851</v>
      </c>
      <c r="D247" s="68">
        <v>5</v>
      </c>
      <c r="E247" s="68" t="str">
        <f t="shared" si="3"/>
        <v>9::Media – Animations::5::- Compare different render modes</v>
      </c>
      <c r="F247" s="68" t="s">
        <v>1867</v>
      </c>
      <c r="G247" s="68">
        <v>3.8</v>
      </c>
      <c r="H247" s="68" t="s">
        <v>1086</v>
      </c>
      <c r="I247" s="68" t="s">
        <v>1087</v>
      </c>
    </row>
    <row r="248" spans="1:9" ht="13" x14ac:dyDescent="0.15">
      <c r="A248" s="68">
        <v>3</v>
      </c>
      <c r="B248" s="68">
        <v>9</v>
      </c>
      <c r="C248" s="68" t="s">
        <v>1851</v>
      </c>
      <c r="D248" s="68">
        <v>6</v>
      </c>
      <c r="E248" s="68" t="str">
        <f t="shared" si="3"/>
        <v>9::Media – Animations::6::- Create a 3–10 second animation</v>
      </c>
      <c r="F248" s="68" t="s">
        <v>1868</v>
      </c>
      <c r="G248" s="68">
        <v>3.8</v>
      </c>
      <c r="H248" s="68" t="s">
        <v>1086</v>
      </c>
      <c r="I248" s="68" t="s">
        <v>1087</v>
      </c>
    </row>
    <row r="249" spans="1:9" ht="13" x14ac:dyDescent="0.15">
      <c r="A249" s="68">
        <v>3</v>
      </c>
      <c r="B249" s="68">
        <v>9</v>
      </c>
      <c r="C249" s="68" t="s">
        <v>1851</v>
      </c>
      <c r="D249" s="68">
        <v>6</v>
      </c>
      <c r="E249" s="68" t="str">
        <f t="shared" si="3"/>
        <v>9::Media – Animations::6::- Render out the animation</v>
      </c>
      <c r="F249" s="68" t="s">
        <v>1869</v>
      </c>
      <c r="G249" s="68">
        <v>3.8</v>
      </c>
      <c r="H249" s="68" t="s">
        <v>1086</v>
      </c>
      <c r="I249" s="68" t="s">
        <v>1087</v>
      </c>
    </row>
    <row r="250" spans="1:9" ht="13" x14ac:dyDescent="0.15">
      <c r="A250" s="68">
        <v>3</v>
      </c>
      <c r="B250" s="68">
        <v>9</v>
      </c>
      <c r="C250" s="68" t="s">
        <v>1870</v>
      </c>
      <c r="D250" s="68">
        <v>1</v>
      </c>
      <c r="E250" s="68" t="str">
        <f t="shared" si="3"/>
        <v>9::Physical computing::1::- Describe what the micro:bit is</v>
      </c>
      <c r="F250" s="68" t="s">
        <v>1871</v>
      </c>
      <c r="G250" s="68" t="s">
        <v>1747</v>
      </c>
      <c r="H250" s="68" t="s">
        <v>19</v>
      </c>
      <c r="I250" s="68" t="s">
        <v>1087</v>
      </c>
    </row>
    <row r="251" spans="1:9" ht="13" x14ac:dyDescent="0.15">
      <c r="A251" s="68">
        <v>3</v>
      </c>
      <c r="B251" s="68">
        <v>9</v>
      </c>
      <c r="C251" s="68" t="s">
        <v>1870</v>
      </c>
      <c r="D251" s="68">
        <v>1</v>
      </c>
      <c r="E251" s="68" t="str">
        <f t="shared" si="3"/>
        <v>9::Physical computing::1::- List the micro:bit’s input and output devices</v>
      </c>
      <c r="F251" s="68" t="s">
        <v>1872</v>
      </c>
      <c r="G251" s="68" t="s">
        <v>1747</v>
      </c>
      <c r="H251" s="68" t="s">
        <v>19</v>
      </c>
      <c r="I251" s="68" t="s">
        <v>1087</v>
      </c>
    </row>
    <row r="252" spans="1:9" ht="13" x14ac:dyDescent="0.15">
      <c r="A252" s="68">
        <v>3</v>
      </c>
      <c r="B252" s="68">
        <v>9</v>
      </c>
      <c r="C252" s="68" t="s">
        <v>1870</v>
      </c>
      <c r="D252" s="68">
        <v>1</v>
      </c>
      <c r="E252" s="68" t="str">
        <f t="shared" si="3"/>
        <v>9::Physical computing::1::- Use a development environment to write, execute, and debug a Python program for the micro:bit</v>
      </c>
      <c r="F252" s="68" t="s">
        <v>1873</v>
      </c>
      <c r="G252" s="68" t="s">
        <v>1747</v>
      </c>
      <c r="H252" s="68" t="s">
        <v>1874</v>
      </c>
      <c r="I252" s="68" t="s">
        <v>1087</v>
      </c>
    </row>
    <row r="253" spans="1:9" ht="13" x14ac:dyDescent="0.15">
      <c r="A253" s="68">
        <v>3</v>
      </c>
      <c r="B253" s="68">
        <v>9</v>
      </c>
      <c r="C253" s="68" t="s">
        <v>1870</v>
      </c>
      <c r="D253" s="68">
        <v>2</v>
      </c>
      <c r="E253" s="68" t="str">
        <f t="shared" si="3"/>
        <v>9::Physical computing::2::- Write programs that use the micro:bit’s built-in input and output devices</v>
      </c>
      <c r="F253" s="68" t="s">
        <v>1875</v>
      </c>
      <c r="G253" s="68" t="s">
        <v>1747</v>
      </c>
      <c r="H253" s="68" t="s">
        <v>1876</v>
      </c>
      <c r="I253" s="68" t="s">
        <v>1087</v>
      </c>
    </row>
    <row r="254" spans="1:9" ht="13" x14ac:dyDescent="0.15">
      <c r="A254" s="68">
        <v>3</v>
      </c>
      <c r="B254" s="68">
        <v>9</v>
      </c>
      <c r="C254" s="68" t="s">
        <v>1870</v>
      </c>
      <c r="D254" s="68">
        <v>3</v>
      </c>
      <c r="E254" s="68" t="str">
        <f t="shared" si="3"/>
        <v>9::Physical computing::3::- Write programs that use GPIO pins to generate output and receive input</v>
      </c>
      <c r="F254" s="68" t="s">
        <v>1877</v>
      </c>
      <c r="G254" s="68" t="s">
        <v>1747</v>
      </c>
      <c r="H254" s="68" t="s">
        <v>1876</v>
      </c>
      <c r="I254" s="68" t="s">
        <v>1087</v>
      </c>
    </row>
    <row r="255" spans="1:9" ht="13" x14ac:dyDescent="0.15">
      <c r="A255" s="68">
        <v>3</v>
      </c>
      <c r="B255" s="68">
        <v>9</v>
      </c>
      <c r="C255" s="68" t="s">
        <v>1870</v>
      </c>
      <c r="D255" s="68">
        <v>3</v>
      </c>
      <c r="E255" s="68" t="str">
        <f t="shared" si="3"/>
        <v>9::Physical computing::3::- Write programs that communicate with other devices by sending and receiving messages wirelessly</v>
      </c>
      <c r="F255" s="68" t="s">
        <v>1878</v>
      </c>
      <c r="G255" s="68" t="s">
        <v>1747</v>
      </c>
      <c r="H255" s="68" t="s">
        <v>1879</v>
      </c>
      <c r="I255" s="68" t="s">
        <v>1087</v>
      </c>
    </row>
    <row r="256" spans="1:9" ht="13" x14ac:dyDescent="0.15">
      <c r="A256" s="68">
        <v>3</v>
      </c>
      <c r="B256" s="68">
        <v>9</v>
      </c>
      <c r="C256" s="68" t="s">
        <v>1870</v>
      </c>
      <c r="D256" s="68">
        <v>4</v>
      </c>
      <c r="E256" s="68" t="str">
        <f t="shared" si="3"/>
        <v>9::Physical computing::4::- Design a physical computing artifact purposefully, keeping in mind the problem at hand, the needs of the audience involved, and the available resources</v>
      </c>
      <c r="F256" s="68" t="s">
        <v>1880</v>
      </c>
      <c r="G256" s="68" t="s">
        <v>1747</v>
      </c>
      <c r="H256" s="68" t="s">
        <v>1881</v>
      </c>
      <c r="I256" s="68" t="s">
        <v>1087</v>
      </c>
    </row>
    <row r="257" spans="1:9" ht="13" x14ac:dyDescent="0.15">
      <c r="A257" s="68">
        <v>3</v>
      </c>
      <c r="B257" s="68">
        <v>9</v>
      </c>
      <c r="C257" s="68" t="s">
        <v>1870</v>
      </c>
      <c r="D257" s="68">
        <v>4</v>
      </c>
      <c r="E257" s="68" t="str">
        <f t="shared" si="3"/>
        <v>9::Physical computing::4::- Decompose the functionality of a physical computing system into simpler features</v>
      </c>
      <c r="F257" s="68" t="s">
        <v>1882</v>
      </c>
      <c r="G257" s="68" t="s">
        <v>1747</v>
      </c>
      <c r="H257" s="68" t="s">
        <v>1881</v>
      </c>
      <c r="I257" s="68" t="s">
        <v>1087</v>
      </c>
    </row>
    <row r="258" spans="1:9" ht="13" x14ac:dyDescent="0.15">
      <c r="A258" s="68">
        <v>3</v>
      </c>
      <c r="B258" s="68">
        <v>9</v>
      </c>
      <c r="C258" s="68" t="s">
        <v>1870</v>
      </c>
      <c r="D258" s="68">
        <v>5</v>
      </c>
      <c r="E258" s="68" t="str">
        <f t="shared" ref="E258:E292" si="4">B258&amp;"::"&amp;C258&amp;"::"&amp;D258&amp;"::"&amp;F258</f>
        <v>9::Physical computing::5::- Implement a physical computing project, while following, revising, and refining the project plan</v>
      </c>
      <c r="F258" s="68" t="s">
        <v>1883</v>
      </c>
      <c r="G258" s="68" t="s">
        <v>1747</v>
      </c>
      <c r="H258" s="68" t="s">
        <v>1496</v>
      </c>
      <c r="I258" s="68" t="s">
        <v>1087</v>
      </c>
    </row>
    <row r="259" spans="1:9" ht="13" x14ac:dyDescent="0.15">
      <c r="A259" s="68">
        <v>3</v>
      </c>
      <c r="B259" s="68">
        <v>9</v>
      </c>
      <c r="C259" s="68" t="s">
        <v>1870</v>
      </c>
      <c r="D259" s="68">
        <v>6</v>
      </c>
      <c r="E259" s="68" t="str">
        <f t="shared" si="4"/>
        <v>9::Physical computing::6::- Implement a physical computing project, while following, revising, and refining the project plan</v>
      </c>
      <c r="F259" s="68" t="s">
        <v>1883</v>
      </c>
      <c r="G259" s="68" t="s">
        <v>1747</v>
      </c>
      <c r="H259" s="68" t="s">
        <v>1884</v>
      </c>
      <c r="I259" s="68" t="s">
        <v>1087</v>
      </c>
    </row>
    <row r="260" spans="1:9" ht="13" x14ac:dyDescent="0.15">
      <c r="A260" s="68">
        <v>3</v>
      </c>
      <c r="B260" s="68">
        <v>9</v>
      </c>
      <c r="C260" s="68" t="s">
        <v>1885</v>
      </c>
      <c r="D260" s="68">
        <v>1</v>
      </c>
      <c r="E260" s="68" t="str">
        <f t="shared" si="4"/>
        <v>9::Python programming with sequences of data::1::- Write programs that display messages, receive keyboard input, and use simple arithmetic expressions in assignment statements</v>
      </c>
      <c r="F260" s="68" t="s">
        <v>1886</v>
      </c>
      <c r="G260" s="68" t="s">
        <v>1747</v>
      </c>
      <c r="H260" s="68" t="s">
        <v>1487</v>
      </c>
      <c r="I260" s="68" t="s">
        <v>1087</v>
      </c>
    </row>
    <row r="261" spans="1:9" ht="13" x14ac:dyDescent="0.15">
      <c r="A261" s="68">
        <v>3</v>
      </c>
      <c r="B261" s="68">
        <v>9</v>
      </c>
      <c r="C261" s="68" t="s">
        <v>1885</v>
      </c>
      <c r="D261" s="68">
        <v>1</v>
      </c>
      <c r="E261" s="68" t="str">
        <f t="shared" si="4"/>
        <v>9::Python programming with sequences of data::1::- Locate and correct common syntax errors</v>
      </c>
      <c r="F261" s="68" t="s">
        <v>1750</v>
      </c>
      <c r="G261" s="68" t="s">
        <v>1747</v>
      </c>
      <c r="H261" s="68" t="s">
        <v>1225</v>
      </c>
      <c r="I261" s="68" t="s">
        <v>1087</v>
      </c>
    </row>
    <row r="262" spans="1:9" ht="13" x14ac:dyDescent="0.15">
      <c r="A262" s="68">
        <v>3</v>
      </c>
      <c r="B262" s="68">
        <v>9</v>
      </c>
      <c r="C262" s="68" t="s">
        <v>1885</v>
      </c>
      <c r="D262" s="68">
        <v>1</v>
      </c>
      <c r="E262" s="68" t="str">
        <f t="shared" si="4"/>
        <v>9::Python programming with sequences of data::1::- Create lists and access individual list items</v>
      </c>
      <c r="F262" s="68" t="s">
        <v>1887</v>
      </c>
      <c r="G262" s="68" t="s">
        <v>1747</v>
      </c>
      <c r="H262" s="68" t="s">
        <v>1888</v>
      </c>
      <c r="I262" s="68" t="s">
        <v>1087</v>
      </c>
    </row>
    <row r="263" spans="1:9" ht="13" x14ac:dyDescent="0.15">
      <c r="A263" s="68">
        <v>3</v>
      </c>
      <c r="B263" s="68">
        <v>9</v>
      </c>
      <c r="C263" s="68" t="s">
        <v>1885</v>
      </c>
      <c r="D263" s="68">
        <v>1</v>
      </c>
      <c r="E263" s="68" t="str">
        <f t="shared" si="4"/>
        <v>9::Python programming with sequences of data::1::- Use selection (**if-elif-else* statements) to control the flow of program execution</v>
      </c>
      <c r="F263" s="68" t="s">
        <v>1889</v>
      </c>
      <c r="G263" s="68" t="s">
        <v>1747</v>
      </c>
      <c r="H263" s="68" t="s">
        <v>28</v>
      </c>
      <c r="I263" s="68" t="s">
        <v>1087</v>
      </c>
    </row>
    <row r="264" spans="1:9" ht="13" x14ac:dyDescent="0.15">
      <c r="A264" s="68">
        <v>3</v>
      </c>
      <c r="B264" s="68">
        <v>9</v>
      </c>
      <c r="C264" s="68" t="s">
        <v>1885</v>
      </c>
      <c r="D264" s="68">
        <v>2</v>
      </c>
      <c r="E264" s="68" t="str">
        <f t="shared" si="4"/>
        <v>9::Python programming with sequences of data::2::- Perform common operations on lists or individual items</v>
      </c>
      <c r="F264" s="68" t="s">
        <v>1890</v>
      </c>
      <c r="G264" s="68" t="s">
        <v>1747</v>
      </c>
      <c r="H264" s="68" t="s">
        <v>28</v>
      </c>
      <c r="I264" s="68" t="s">
        <v>1087</v>
      </c>
    </row>
    <row r="265" spans="1:9" ht="13" x14ac:dyDescent="0.15">
      <c r="A265" s="68">
        <v>3</v>
      </c>
      <c r="B265" s="68">
        <v>9</v>
      </c>
      <c r="C265" s="68" t="s">
        <v>1885</v>
      </c>
      <c r="D265" s="68">
        <v>3</v>
      </c>
      <c r="E265" s="68" t="str">
        <f t="shared" si="4"/>
        <v>9::Python programming with sequences of data::3::- Use iteration (while statements) to control the flow of program execution</v>
      </c>
      <c r="F265" s="68" t="s">
        <v>1891</v>
      </c>
      <c r="G265" s="68" t="s">
        <v>1747</v>
      </c>
      <c r="H265" s="68" t="s">
        <v>1225</v>
      </c>
      <c r="I265" s="68" t="s">
        <v>1087</v>
      </c>
    </row>
    <row r="266" spans="1:9" ht="13" x14ac:dyDescent="0.15">
      <c r="A266" s="68">
        <v>3</v>
      </c>
      <c r="B266" s="68">
        <v>9</v>
      </c>
      <c r="C266" s="68" t="s">
        <v>1885</v>
      </c>
      <c r="D266" s="68">
        <v>3</v>
      </c>
      <c r="E266" s="68" t="str">
        <f t="shared" si="4"/>
        <v>9::Python programming with sequences of data::3::- Perform common operations on lists or individual items</v>
      </c>
      <c r="F266" s="68" t="s">
        <v>1890</v>
      </c>
      <c r="G266" s="68" t="s">
        <v>1747</v>
      </c>
      <c r="H266" s="68" t="s">
        <v>1888</v>
      </c>
      <c r="I266" s="68" t="s">
        <v>1087</v>
      </c>
    </row>
    <row r="267" spans="1:9" ht="13" x14ac:dyDescent="0.15">
      <c r="A267" s="68">
        <v>3</v>
      </c>
      <c r="B267" s="68">
        <v>9</v>
      </c>
      <c r="C267" s="68" t="s">
        <v>1885</v>
      </c>
      <c r="D267" s="68">
        <v>3</v>
      </c>
      <c r="E267" s="68" t="str">
        <f t="shared" si="4"/>
        <v>9::Python programming with sequences of data::3::- Perform common operations on strings or individual characters</v>
      </c>
      <c r="F267" s="68" t="s">
        <v>1892</v>
      </c>
      <c r="G267" s="68" t="s">
        <v>1747</v>
      </c>
      <c r="H267" s="68" t="s">
        <v>28</v>
      </c>
      <c r="I267" s="68" t="s">
        <v>1087</v>
      </c>
    </row>
    <row r="268" spans="1:9" ht="13" x14ac:dyDescent="0.15">
      <c r="A268" s="68">
        <v>3</v>
      </c>
      <c r="B268" s="68">
        <v>9</v>
      </c>
      <c r="C268" s="68" t="s">
        <v>1885</v>
      </c>
      <c r="D268" s="68">
        <v>4</v>
      </c>
      <c r="E268" s="68" t="str">
        <f t="shared" si="4"/>
        <v>9::Python programming with sequences of data::4::- Use iteration (for statements) to iterate over list items</v>
      </c>
      <c r="F268" s="68" t="s">
        <v>1893</v>
      </c>
      <c r="G268" s="68" t="s">
        <v>1747</v>
      </c>
      <c r="H268" s="68" t="s">
        <v>1888</v>
      </c>
      <c r="I268" s="68" t="s">
        <v>1087</v>
      </c>
    </row>
    <row r="269" spans="1:9" ht="13" x14ac:dyDescent="0.15">
      <c r="A269" s="68">
        <v>3</v>
      </c>
      <c r="B269" s="68">
        <v>9</v>
      </c>
      <c r="C269" s="68" t="s">
        <v>1885</v>
      </c>
      <c r="D269" s="68">
        <v>4</v>
      </c>
      <c r="E269" s="68" t="str">
        <f t="shared" si="4"/>
        <v>9::Python programming with sequences of data::4::- Perform common operations on lists or strings</v>
      </c>
      <c r="F269" s="68" t="s">
        <v>1894</v>
      </c>
      <c r="G269" s="68" t="s">
        <v>1747</v>
      </c>
      <c r="H269" s="68" t="s">
        <v>1895</v>
      </c>
      <c r="I269" s="68" t="s">
        <v>1087</v>
      </c>
    </row>
    <row r="270" spans="1:9" ht="13" x14ac:dyDescent="0.15">
      <c r="A270" s="68">
        <v>3</v>
      </c>
      <c r="B270" s="68">
        <v>9</v>
      </c>
      <c r="C270" s="68" t="s">
        <v>1885</v>
      </c>
      <c r="D270" s="68">
        <v>5</v>
      </c>
      <c r="E270" s="68" t="str">
        <f t="shared" si="4"/>
        <v>9::Python programming with sequences of data::5::- Use iteration (for loops) to iterate over lists and strings</v>
      </c>
      <c r="F270" s="68" t="s">
        <v>1896</v>
      </c>
      <c r="G270" s="68" t="s">
        <v>1747</v>
      </c>
      <c r="H270" s="68" t="s">
        <v>1888</v>
      </c>
      <c r="I270" s="68" t="s">
        <v>1087</v>
      </c>
    </row>
    <row r="271" spans="1:9" ht="13" x14ac:dyDescent="0.15">
      <c r="A271" s="68">
        <v>3</v>
      </c>
      <c r="B271" s="68">
        <v>9</v>
      </c>
      <c r="C271" s="68" t="s">
        <v>1885</v>
      </c>
      <c r="D271" s="68">
        <v>5</v>
      </c>
      <c r="E271" s="68" t="str">
        <f t="shared" si="4"/>
        <v>9::Python programming with sequences of data::5::- Use variables to keep track of counts and sums</v>
      </c>
      <c r="F271" s="68" t="s">
        <v>1897</v>
      </c>
      <c r="G271" s="68" t="s">
        <v>1747</v>
      </c>
      <c r="H271" s="68" t="s">
        <v>1888</v>
      </c>
      <c r="I271" s="68" t="s">
        <v>1087</v>
      </c>
    </row>
    <row r="272" spans="1:9" ht="13" x14ac:dyDescent="0.15">
      <c r="A272" s="68">
        <v>3</v>
      </c>
      <c r="B272" s="68">
        <v>9</v>
      </c>
      <c r="C272" s="68" t="s">
        <v>1885</v>
      </c>
      <c r="D272" s="68">
        <v>5</v>
      </c>
      <c r="E272" s="68" t="str">
        <f t="shared" si="4"/>
        <v>9::Python programming with sequences of data::5::- Combine key programming language features to develop solutions to meaningful problems</v>
      </c>
      <c r="F272" s="68" t="s">
        <v>1898</v>
      </c>
      <c r="G272" s="68" t="s">
        <v>1747</v>
      </c>
      <c r="H272" s="68" t="s">
        <v>1888</v>
      </c>
      <c r="I272" s="68" t="s">
        <v>1087</v>
      </c>
    </row>
    <row r="273" spans="1:9" ht="13" x14ac:dyDescent="0.15">
      <c r="A273" s="68">
        <v>3</v>
      </c>
      <c r="B273" s="68">
        <v>9</v>
      </c>
      <c r="C273" s="68" t="s">
        <v>1885</v>
      </c>
      <c r="D273" s="68">
        <v>6</v>
      </c>
      <c r="E273" s="68" t="str">
        <f t="shared" si="4"/>
        <v>9::Python programming with sequences of data::6::- Apply all of the skills covered in this unit</v>
      </c>
      <c r="F273" s="68" t="s">
        <v>1809</v>
      </c>
      <c r="G273" s="68" t="s">
        <v>1747</v>
      </c>
      <c r="H273" s="68" t="s">
        <v>1884</v>
      </c>
      <c r="I273" s="68" t="s">
        <v>1087</v>
      </c>
    </row>
    <row r="274" spans="1:9" ht="13" x14ac:dyDescent="0.15">
      <c r="A274" s="68">
        <v>3</v>
      </c>
      <c r="B274" s="68">
        <v>9</v>
      </c>
      <c r="C274" s="68" t="s">
        <v>1899</v>
      </c>
      <c r="D274" s="68">
        <v>1</v>
      </c>
      <c r="E274" s="68" t="str">
        <f t="shared" si="4"/>
        <v>9::Representations – going audiovisual::1::- Describe how digital images are composed of individual elements</v>
      </c>
      <c r="F274" s="68" t="s">
        <v>1900</v>
      </c>
      <c r="G274" s="68">
        <v>3.6</v>
      </c>
      <c r="H274" s="68" t="s">
        <v>13</v>
      </c>
      <c r="I274" s="68" t="s">
        <v>1087</v>
      </c>
    </row>
    <row r="275" spans="1:9" ht="13" x14ac:dyDescent="0.15">
      <c r="A275" s="68">
        <v>3</v>
      </c>
      <c r="B275" s="68">
        <v>9</v>
      </c>
      <c r="C275" s="68" t="s">
        <v>1899</v>
      </c>
      <c r="D275" s="68">
        <v>1</v>
      </c>
      <c r="E275" s="68" t="str">
        <f t="shared" si="4"/>
        <v>9::Representations – going audiovisual::1::- Recall that the colour of each picture element is represented using a sequence of binary digits</v>
      </c>
      <c r="F275" s="68" t="s">
        <v>1901</v>
      </c>
      <c r="G275" s="68">
        <v>3.6</v>
      </c>
      <c r="H275" s="68" t="s">
        <v>13</v>
      </c>
      <c r="I275" s="68" t="s">
        <v>1087</v>
      </c>
    </row>
    <row r="276" spans="1:9" ht="13" x14ac:dyDescent="0.15">
      <c r="A276" s="68">
        <v>3</v>
      </c>
      <c r="B276" s="68">
        <v>9</v>
      </c>
      <c r="C276" s="68" t="s">
        <v>1899</v>
      </c>
      <c r="D276" s="68">
        <v>1</v>
      </c>
      <c r="E276" s="68" t="str">
        <f t="shared" si="4"/>
        <v>9::Representations – going audiovisual::1::- Define key terms such as ‘pixels’, ‘resolution’, and ‘colour depth’</v>
      </c>
      <c r="F276" s="68" t="s">
        <v>1902</v>
      </c>
      <c r="G276" s="68">
        <v>3.6</v>
      </c>
      <c r="H276" s="68" t="s">
        <v>13</v>
      </c>
      <c r="I276" s="68" t="s">
        <v>1087</v>
      </c>
    </row>
    <row r="277" spans="1:9" ht="13" x14ac:dyDescent="0.15">
      <c r="A277" s="68">
        <v>3</v>
      </c>
      <c r="B277" s="68">
        <v>9</v>
      </c>
      <c r="C277" s="68" t="s">
        <v>1899</v>
      </c>
      <c r="D277" s="68">
        <v>1</v>
      </c>
      <c r="E277" s="68" t="str">
        <f t="shared" si="4"/>
        <v>9::Representations – going audiovisual::1::- Describe how an image can be represented as a sequence of bits</v>
      </c>
      <c r="F277" s="68" t="s">
        <v>1903</v>
      </c>
      <c r="G277" s="68">
        <v>3.6</v>
      </c>
      <c r="H277" s="68" t="s">
        <v>13</v>
      </c>
      <c r="I277" s="68" t="s">
        <v>1087</v>
      </c>
    </row>
    <row r="278" spans="1:9" ht="13" x14ac:dyDescent="0.15">
      <c r="A278" s="68">
        <v>3</v>
      </c>
      <c r="B278" s="68">
        <v>9</v>
      </c>
      <c r="C278" s="68" t="s">
        <v>1899</v>
      </c>
      <c r="D278" s="68">
        <v>2</v>
      </c>
      <c r="E278" s="68" t="str">
        <f t="shared" si="4"/>
        <v>9::Representations – going audiovisual::2::- Describe how colour can be represented as a mixture of red, green, and blue, with a sequence of bits representing each colour’s intensity</v>
      </c>
      <c r="F278" s="68" t="s">
        <v>1904</v>
      </c>
      <c r="G278" s="68">
        <v>3.6</v>
      </c>
      <c r="H278" s="68" t="s">
        <v>13</v>
      </c>
      <c r="I278" s="68" t="s">
        <v>1087</v>
      </c>
    </row>
    <row r="279" spans="1:9" ht="13" x14ac:dyDescent="0.15">
      <c r="A279" s="68">
        <v>3</v>
      </c>
      <c r="B279" s="68">
        <v>9</v>
      </c>
      <c r="C279" s="68" t="s">
        <v>1899</v>
      </c>
      <c r="D279" s="68">
        <v>2</v>
      </c>
      <c r="E279" s="68" t="str">
        <f t="shared" si="4"/>
        <v>9::Representations – going audiovisual::2::- Compute the representation size of a digital image, by multiplying resolution (number of pixels) with colour depth (number of bits used to represent the colour of individual pixels)</v>
      </c>
      <c r="F279" s="68" t="s">
        <v>1905</v>
      </c>
      <c r="G279" s="68">
        <v>3.6</v>
      </c>
      <c r="H279" s="68" t="s">
        <v>13</v>
      </c>
      <c r="I279" s="68" t="s">
        <v>1087</v>
      </c>
    </row>
    <row r="280" spans="1:9" ht="13" x14ac:dyDescent="0.15">
      <c r="A280" s="68">
        <v>3</v>
      </c>
      <c r="B280" s="68">
        <v>9</v>
      </c>
      <c r="C280" s="68" t="s">
        <v>1899</v>
      </c>
      <c r="D280" s="68">
        <v>2</v>
      </c>
      <c r="E280" s="68" t="str">
        <f t="shared" si="4"/>
        <v>9::Representations – going audiovisual::2::- Describe the trade-off between representation size and perceived quality for digital images</v>
      </c>
      <c r="F280" s="68" t="s">
        <v>1906</v>
      </c>
      <c r="G280" s="68">
        <v>3.6</v>
      </c>
      <c r="H280" s="68" t="s">
        <v>13</v>
      </c>
      <c r="I280" s="68" t="s">
        <v>1087</v>
      </c>
    </row>
    <row r="281" spans="1:9" ht="13" x14ac:dyDescent="0.15">
      <c r="A281" s="68">
        <v>3</v>
      </c>
      <c r="B281" s="68">
        <v>9</v>
      </c>
      <c r="C281" s="68" t="s">
        <v>1899</v>
      </c>
      <c r="D281" s="68">
        <v>3</v>
      </c>
      <c r="E281" s="68" t="str">
        <f t="shared" si="4"/>
        <v>9::Representations – going audiovisual::3::- Perform basic image editing tasks using appropriate software and combine them in order to solve more complex problems requiring image manipulation</v>
      </c>
      <c r="F281" s="68" t="s">
        <v>1907</v>
      </c>
      <c r="G281" s="68">
        <v>3.6</v>
      </c>
      <c r="H281" s="68" t="s">
        <v>1446</v>
      </c>
      <c r="I281" s="68" t="s">
        <v>1087</v>
      </c>
    </row>
    <row r="282" spans="1:9" ht="13" x14ac:dyDescent="0.15">
      <c r="A282" s="68">
        <v>3</v>
      </c>
      <c r="B282" s="68">
        <v>9</v>
      </c>
      <c r="C282" s="68" t="s">
        <v>1899</v>
      </c>
      <c r="D282" s="68">
        <v>3</v>
      </c>
      <c r="E282" s="68" t="str">
        <f t="shared" si="4"/>
        <v>9::Representations – going audiovisual::3::- Explain how the manipulation of digital images amounts to arithmetic operations on their digital representation</v>
      </c>
      <c r="F282" s="68" t="s">
        <v>1908</v>
      </c>
      <c r="G282" s="68">
        <v>3.6</v>
      </c>
      <c r="H282" s="68" t="s">
        <v>1197</v>
      </c>
      <c r="I282" s="68" t="s">
        <v>1087</v>
      </c>
    </row>
    <row r="283" spans="1:9" ht="13" x14ac:dyDescent="0.15">
      <c r="A283" s="68">
        <v>3</v>
      </c>
      <c r="B283" s="68">
        <v>9</v>
      </c>
      <c r="C283" s="68" t="s">
        <v>1899</v>
      </c>
      <c r="D283" s="68">
        <v>3</v>
      </c>
      <c r="E283" s="68" t="str">
        <f t="shared" si="4"/>
        <v>9::Representations – going audiovisual::3::- Describe and assess the creative benefits and ethical drawbacks of digital manipulation [Education for a Connected World](https://www.gov.uk/government/publications/education-for-a-connected-world)</v>
      </c>
      <c r="F283" s="68" t="s">
        <v>1909</v>
      </c>
      <c r="G283" s="68">
        <v>3.6</v>
      </c>
      <c r="H283" s="68" t="s">
        <v>1910</v>
      </c>
      <c r="I283" s="68" t="s">
        <v>1087</v>
      </c>
    </row>
    <row r="284" spans="1:9" ht="13" x14ac:dyDescent="0.15">
      <c r="A284" s="68">
        <v>3</v>
      </c>
      <c r="B284" s="68">
        <v>9</v>
      </c>
      <c r="C284" s="68" t="s">
        <v>1899</v>
      </c>
      <c r="D284" s="68">
        <v>4</v>
      </c>
      <c r="E284" s="68" t="str">
        <f t="shared" si="4"/>
        <v>9::Representations – going audiovisual::4::- Recall that sound is a wave</v>
      </c>
      <c r="F284" s="68" t="s">
        <v>1911</v>
      </c>
      <c r="G284" s="68">
        <v>3.6</v>
      </c>
      <c r="H284" s="68" t="s">
        <v>13</v>
      </c>
      <c r="I284" s="68" t="s">
        <v>1087</v>
      </c>
    </row>
    <row r="285" spans="1:9" ht="13" x14ac:dyDescent="0.15">
      <c r="A285" s="68">
        <v>3</v>
      </c>
      <c r="B285" s="68">
        <v>9</v>
      </c>
      <c r="C285" s="68" t="s">
        <v>1899</v>
      </c>
      <c r="D285" s="68">
        <v>4</v>
      </c>
      <c r="E285" s="68" t="str">
        <f t="shared" si="4"/>
        <v>9::Representations – going audiovisual::4::- Explain the function of microphones and speakers as components that capture and generate sound</v>
      </c>
      <c r="F285" s="68" t="s">
        <v>1912</v>
      </c>
      <c r="G285" s="68">
        <v>3.6</v>
      </c>
      <c r="H285" s="68" t="s">
        <v>19</v>
      </c>
      <c r="I285" s="68" t="s">
        <v>1087</v>
      </c>
    </row>
    <row r="286" spans="1:9" ht="13" x14ac:dyDescent="0.15">
      <c r="A286" s="68">
        <v>3</v>
      </c>
      <c r="B286" s="68">
        <v>9</v>
      </c>
      <c r="C286" s="68" t="s">
        <v>1899</v>
      </c>
      <c r="D286" s="68">
        <v>4</v>
      </c>
      <c r="E286" s="68" t="str">
        <f t="shared" si="4"/>
        <v>9::Representations – going audiovisual::4::- Define key terms such as ‘sample’, ‘sampling frequency/rate’, ‘sample size’</v>
      </c>
      <c r="F286" s="68" t="s">
        <v>1913</v>
      </c>
      <c r="G286" s="68">
        <v>3.6</v>
      </c>
      <c r="H286" s="68" t="s">
        <v>13</v>
      </c>
      <c r="I286" s="68" t="s">
        <v>1087</v>
      </c>
    </row>
    <row r="287" spans="1:9" ht="13" x14ac:dyDescent="0.15">
      <c r="A287" s="68">
        <v>3</v>
      </c>
      <c r="B287" s="68">
        <v>9</v>
      </c>
      <c r="C287" s="68" t="s">
        <v>1899</v>
      </c>
      <c r="D287" s="68">
        <v>4</v>
      </c>
      <c r="E287" s="68" t="str">
        <f t="shared" si="4"/>
        <v>9::Representations – going audiovisual::4::- Describe how sounds are represented as sequences of bits</v>
      </c>
      <c r="F287" s="68" t="s">
        <v>1914</v>
      </c>
      <c r="G287" s="68">
        <v>3.6</v>
      </c>
      <c r="H287" s="68" t="s">
        <v>13</v>
      </c>
      <c r="I287" s="68" t="s">
        <v>1087</v>
      </c>
    </row>
    <row r="288" spans="1:9" ht="13" x14ac:dyDescent="0.15">
      <c r="A288" s="68">
        <v>3</v>
      </c>
      <c r="B288" s="68">
        <v>9</v>
      </c>
      <c r="C288" s="68" t="s">
        <v>1899</v>
      </c>
      <c r="D288" s="68">
        <v>5</v>
      </c>
      <c r="E288" s="68" t="str">
        <f t="shared" si="4"/>
        <v>9::Representations – going audiovisual::5::- Calculate representation size for a given digital sound, given its attributes</v>
      </c>
      <c r="F288" s="68" t="s">
        <v>1915</v>
      </c>
      <c r="G288" s="68">
        <v>3.6</v>
      </c>
      <c r="H288" s="68" t="s">
        <v>13</v>
      </c>
      <c r="I288" s="68" t="s">
        <v>1087</v>
      </c>
    </row>
    <row r="289" spans="1:9" ht="13" x14ac:dyDescent="0.15">
      <c r="A289" s="68">
        <v>3</v>
      </c>
      <c r="B289" s="68">
        <v>9</v>
      </c>
      <c r="C289" s="68" t="s">
        <v>1899</v>
      </c>
      <c r="D289" s="68">
        <v>5</v>
      </c>
      <c r="E289" s="68" t="str">
        <f t="shared" si="4"/>
        <v>9::Representations – going audiovisual::5::- Explain how attributes such as sampling frequency and sample size affect characteristics such as representation size and perceived quality, and the trade-offs involved</v>
      </c>
      <c r="F289" s="68" t="s">
        <v>1916</v>
      </c>
      <c r="G289" s="68">
        <v>3.6</v>
      </c>
      <c r="H289" s="68" t="s">
        <v>13</v>
      </c>
      <c r="I289" s="68" t="s">
        <v>1087</v>
      </c>
    </row>
    <row r="290" spans="1:9" ht="13" x14ac:dyDescent="0.15">
      <c r="A290" s="68">
        <v>3</v>
      </c>
      <c r="B290" s="68">
        <v>9</v>
      </c>
      <c r="C290" s="68" t="s">
        <v>1899</v>
      </c>
      <c r="D290" s="68">
        <v>5</v>
      </c>
      <c r="E290" s="68" t="str">
        <f t="shared" si="4"/>
        <v xml:space="preserve">9::Representations – going audiovisual::5::- Perform basic sound editing tasks using appropriate software and combine them in order to solve more complex problems requiring sound manipulation
</v>
      </c>
      <c r="F290" s="68" t="s">
        <v>1917</v>
      </c>
      <c r="G290" s="68">
        <v>3.6</v>
      </c>
      <c r="H290" s="68" t="s">
        <v>13</v>
      </c>
      <c r="I290" s="68" t="s">
        <v>1087</v>
      </c>
    </row>
    <row r="291" spans="1:9" ht="13" x14ac:dyDescent="0.15">
      <c r="A291" s="68">
        <v>3</v>
      </c>
      <c r="B291" s="68">
        <v>9</v>
      </c>
      <c r="C291" s="68" t="s">
        <v>1899</v>
      </c>
      <c r="D291" s="68">
        <v>6</v>
      </c>
      <c r="E291" s="68" t="str">
        <f t="shared" si="4"/>
        <v>9::Representations – going audiovisual::6::- Recall that bitmap images and pulse code sound are not the only binary representations of images and sound available</v>
      </c>
      <c r="F291" s="68" t="s">
        <v>1918</v>
      </c>
      <c r="G291" s="68">
        <v>3.6</v>
      </c>
      <c r="H291" s="68" t="s">
        <v>13</v>
      </c>
      <c r="I291" s="68" t="s">
        <v>1087</v>
      </c>
    </row>
    <row r="292" spans="1:9" ht="13" x14ac:dyDescent="0.15">
      <c r="A292" s="68">
        <v>3</v>
      </c>
      <c r="B292" s="68">
        <v>9</v>
      </c>
      <c r="C292" s="68" t="s">
        <v>1899</v>
      </c>
      <c r="D292" s="68">
        <v>6</v>
      </c>
      <c r="E292" s="68" t="str">
        <f t="shared" si="4"/>
        <v>9::Representations – going audiovisual::6::- Define ‘compression’, and describe why it is necessary</v>
      </c>
      <c r="F292" s="68" t="s">
        <v>1919</v>
      </c>
      <c r="G292" s="68">
        <v>3.6</v>
      </c>
      <c r="H292" s="68" t="s">
        <v>13</v>
      </c>
      <c r="I292" s="68" t="s">
        <v>1087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H129"/>
  <sheetViews>
    <sheetView workbookViewId="0"/>
  </sheetViews>
  <sheetFormatPr baseColWidth="10" defaultColWidth="12.6640625" defaultRowHeight="15.75" customHeight="1" x14ac:dyDescent="0.15"/>
  <sheetData>
    <row r="1" spans="1:8" ht="15.75" customHeight="1" x14ac:dyDescent="0.15">
      <c r="A1" s="68" t="s">
        <v>1061</v>
      </c>
      <c r="B1" s="68" t="s">
        <v>1062</v>
      </c>
      <c r="C1" s="68" t="s">
        <v>1063</v>
      </c>
      <c r="D1" s="68"/>
      <c r="E1" s="68" t="s">
        <v>1064</v>
      </c>
      <c r="F1" s="68" t="s">
        <v>1065</v>
      </c>
      <c r="G1" s="68" t="s">
        <v>1065</v>
      </c>
      <c r="H1" s="68" t="s">
        <v>1065</v>
      </c>
    </row>
    <row r="2" spans="1:8" ht="15.75" customHeight="1" x14ac:dyDescent="0.15">
      <c r="A2" s="68" t="s">
        <v>1920</v>
      </c>
      <c r="B2" s="68" t="s">
        <v>1921</v>
      </c>
      <c r="C2" s="68">
        <v>1</v>
      </c>
      <c r="D2" s="68" t="str">
        <f t="shared" ref="D2:D129" si="0">$B2&amp;"::"&amp;$C2&amp;"::"&amp;$E2</f>
        <v>IT and the world of work::1::Examine traditional and modern team working</v>
      </c>
      <c r="E2" s="68" t="s">
        <v>1922</v>
      </c>
      <c r="F2" s="68">
        <v>4.0999999999999996</v>
      </c>
      <c r="G2" s="68" t="s">
        <v>1923</v>
      </c>
      <c r="H2" s="68" t="s">
        <v>1087</v>
      </c>
    </row>
    <row r="3" spans="1:8" ht="15.75" customHeight="1" x14ac:dyDescent="0.15">
      <c r="A3" s="68" t="s">
        <v>1920</v>
      </c>
      <c r="B3" s="68" t="s">
        <v>1921</v>
      </c>
      <c r="C3" s="68">
        <v>1</v>
      </c>
      <c r="D3" s="68" t="str">
        <f t="shared" si="0"/>
        <v>IT and the world of work::1::Interpret the advantages and disadvantages of 24/7/365 availability</v>
      </c>
      <c r="E3" s="68" t="s">
        <v>1924</v>
      </c>
      <c r="F3" s="68">
        <v>4.0999999999999996</v>
      </c>
      <c r="G3" s="68" t="s">
        <v>1923</v>
      </c>
      <c r="H3" s="68" t="s">
        <v>1087</v>
      </c>
    </row>
    <row r="4" spans="1:8" ht="15.75" customHeight="1" x14ac:dyDescent="0.15">
      <c r="A4" s="68" t="s">
        <v>1920</v>
      </c>
      <c r="B4" s="68" t="s">
        <v>1921</v>
      </c>
      <c r="C4" s="68">
        <v>1</v>
      </c>
      <c r="D4" s="68" t="str">
        <f t="shared" si="0"/>
        <v>IT and the world of work::1::Compare inclusivity and accessibility within traditional and modern teams</v>
      </c>
      <c r="E4" s="68" t="s">
        <v>1925</v>
      </c>
      <c r="F4" s="68">
        <v>4.0999999999999996</v>
      </c>
      <c r="G4" s="68" t="s">
        <v>1923</v>
      </c>
      <c r="H4" s="68" t="s">
        <v>1087</v>
      </c>
    </row>
    <row r="5" spans="1:8" ht="15.75" customHeight="1" x14ac:dyDescent="0.15">
      <c r="A5" s="68" t="s">
        <v>1920</v>
      </c>
      <c r="B5" s="68" t="s">
        <v>1921</v>
      </c>
      <c r="C5" s="68">
        <v>2</v>
      </c>
      <c r="D5" s="68" t="str">
        <f t="shared" si="0"/>
        <v>IT and the world of work::2::Examine modern technology tools that assist inclusivity and accessibility</v>
      </c>
      <c r="E5" s="68" t="s">
        <v>1926</v>
      </c>
      <c r="F5" s="68">
        <v>4.0999999999999996</v>
      </c>
      <c r="G5" s="68" t="s">
        <v>1923</v>
      </c>
      <c r="H5" s="68" t="s">
        <v>1087</v>
      </c>
    </row>
    <row r="6" spans="1:8" ht="15.75" customHeight="1" x14ac:dyDescent="0.15">
      <c r="A6" s="68" t="s">
        <v>1920</v>
      </c>
      <c r="B6" s="68" t="s">
        <v>1921</v>
      </c>
      <c r="C6" s="68">
        <v>2</v>
      </c>
      <c r="D6" s="68" t="str">
        <f t="shared" si="0"/>
        <v>IT and the world of work::2::Explore communication tools</v>
      </c>
      <c r="E6" s="68" t="s">
        <v>1927</v>
      </c>
      <c r="F6" s="68">
        <v>4.0999999999999996</v>
      </c>
      <c r="G6" s="68" t="s">
        <v>1928</v>
      </c>
      <c r="H6" s="68" t="s">
        <v>1087</v>
      </c>
    </row>
    <row r="7" spans="1:8" ht="15.75" customHeight="1" x14ac:dyDescent="0.15">
      <c r="A7" s="68" t="s">
        <v>1920</v>
      </c>
      <c r="B7" s="68" t="s">
        <v>1921</v>
      </c>
      <c r="C7" s="68">
        <v>2</v>
      </c>
      <c r="D7" s="68" t="str">
        <f t="shared" si="0"/>
        <v>IT and the world of work::2::Evaluate collaborative working</v>
      </c>
      <c r="E7" s="68" t="s">
        <v>1929</v>
      </c>
      <c r="F7" s="68">
        <v>4.0999999999999996</v>
      </c>
      <c r="G7" s="68" t="s">
        <v>1928</v>
      </c>
      <c r="H7" s="68" t="s">
        <v>1087</v>
      </c>
    </row>
    <row r="8" spans="1:8" ht="15.75" customHeight="1" x14ac:dyDescent="0.15">
      <c r="A8" s="68" t="s">
        <v>1920</v>
      </c>
      <c r="B8" s="68" t="s">
        <v>1921</v>
      </c>
      <c r="C8" s="68">
        <v>3</v>
      </c>
      <c r="D8" s="68" t="str">
        <f t="shared" si="0"/>
        <v>IT and the world of work::3::Recall collaboration and communication platforms</v>
      </c>
      <c r="E8" s="68" t="s">
        <v>1930</v>
      </c>
      <c r="F8" s="68">
        <v>4.0999999999999996</v>
      </c>
      <c r="G8" s="68" t="s">
        <v>1928</v>
      </c>
      <c r="H8" s="68" t="s">
        <v>1087</v>
      </c>
    </row>
    <row r="9" spans="1:8" ht="15.75" customHeight="1" x14ac:dyDescent="0.15">
      <c r="A9" s="68" t="s">
        <v>1920</v>
      </c>
      <c r="B9" s="68" t="s">
        <v>1921</v>
      </c>
      <c r="C9" s="68">
        <v>3</v>
      </c>
      <c r="D9" s="68" t="str">
        <f t="shared" si="0"/>
        <v>IT and the world of work::3::Evaluate effective online communication</v>
      </c>
      <c r="E9" s="68" t="s">
        <v>1931</v>
      </c>
      <c r="F9" s="68">
        <v>4.0999999999999996</v>
      </c>
      <c r="G9" s="68" t="s">
        <v>1928</v>
      </c>
      <c r="H9" s="68" t="s">
        <v>1087</v>
      </c>
    </row>
    <row r="10" spans="1:8" ht="15.75" customHeight="1" x14ac:dyDescent="0.15">
      <c r="A10" s="68" t="s">
        <v>1920</v>
      </c>
      <c r="B10" s="68" t="s">
        <v>1921</v>
      </c>
      <c r="C10" s="68">
        <v>3</v>
      </c>
      <c r="D10" s="68" t="str">
        <f t="shared" si="0"/>
        <v>IT and the world of work::3::Formulate a proposal that identifies essential skills for the modern workplace</v>
      </c>
      <c r="E10" s="68" t="s">
        <v>1932</v>
      </c>
      <c r="F10" s="68">
        <v>4.0999999999999996</v>
      </c>
      <c r="G10" s="68" t="s">
        <v>1928</v>
      </c>
      <c r="H10" s="68" t="s">
        <v>1087</v>
      </c>
    </row>
    <row r="11" spans="1:8" ht="15.75" customHeight="1" x14ac:dyDescent="0.15">
      <c r="A11" s="68" t="s">
        <v>1920</v>
      </c>
      <c r="B11" s="68" t="s">
        <v>1921</v>
      </c>
      <c r="C11" s="68">
        <v>4</v>
      </c>
      <c r="D11" s="68" t="str">
        <f t="shared" si="0"/>
        <v>IT and the world of work::4::Assess the functions and features of cloud computing</v>
      </c>
      <c r="E11" s="68" t="s">
        <v>1933</v>
      </c>
      <c r="F11" s="68">
        <v>4.0999999999999996</v>
      </c>
      <c r="G11" s="68" t="s">
        <v>1256</v>
      </c>
      <c r="H11" s="68" t="s">
        <v>1087</v>
      </c>
    </row>
    <row r="12" spans="1:8" ht="15.75" customHeight="1" x14ac:dyDescent="0.15">
      <c r="A12" s="68" t="s">
        <v>1920</v>
      </c>
      <c r="B12" s="68" t="s">
        <v>1921</v>
      </c>
      <c r="C12" s="68">
        <v>4</v>
      </c>
      <c r="D12" s="68" t="str">
        <f t="shared" si="0"/>
        <v>IT and the world of work::4::Justify the selection of communication platforms</v>
      </c>
      <c r="E12" s="68" t="s">
        <v>1934</v>
      </c>
      <c r="F12" s="68">
        <v>4.0999999999999996</v>
      </c>
      <c r="G12" s="68" t="s">
        <v>1928</v>
      </c>
      <c r="H12" s="68" t="s">
        <v>1087</v>
      </c>
    </row>
    <row r="13" spans="1:8" ht="15.75" customHeight="1" x14ac:dyDescent="0.15">
      <c r="A13" s="68" t="s">
        <v>1920</v>
      </c>
      <c r="B13" s="68" t="s">
        <v>1921</v>
      </c>
      <c r="C13" s="68">
        <v>4</v>
      </c>
      <c r="D13" s="68" t="str">
        <f t="shared" si="0"/>
        <v>IT and the world of work::4::Evaluate the security of using the cloud for storage and document/data creation</v>
      </c>
      <c r="E13" s="68" t="s">
        <v>1935</v>
      </c>
      <c r="F13" s="68">
        <v>4.0999999999999996</v>
      </c>
      <c r="G13" s="68" t="s">
        <v>1161</v>
      </c>
      <c r="H13" s="68" t="s">
        <v>1087</v>
      </c>
    </row>
    <row r="14" spans="1:8" ht="15.75" customHeight="1" x14ac:dyDescent="0.15">
      <c r="A14" s="68" t="s">
        <v>1920</v>
      </c>
      <c r="B14" s="68" t="s">
        <v>1921</v>
      </c>
      <c r="C14" s="68">
        <v>5</v>
      </c>
      <c r="D14" s="68" t="str">
        <f t="shared" si="0"/>
        <v>IT and the world of work::5::Recognise methods of creating a network when mobile or remote working</v>
      </c>
      <c r="E14" s="68" t="s">
        <v>1936</v>
      </c>
      <c r="F14" s="68">
        <v>4.0999999999999996</v>
      </c>
      <c r="G14" s="68" t="s">
        <v>7</v>
      </c>
      <c r="H14" s="68" t="s">
        <v>1087</v>
      </c>
    </row>
    <row r="15" spans="1:8" ht="15.75" customHeight="1" x14ac:dyDescent="0.15">
      <c r="A15" s="68" t="s">
        <v>1920</v>
      </c>
      <c r="B15" s="68" t="s">
        <v>1921</v>
      </c>
      <c r="C15" s="68">
        <v>5</v>
      </c>
      <c r="D15" s="68" t="str">
        <f t="shared" si="0"/>
        <v>IT and the world of work::5::Evaluate the advantages and disadvantages of ad hoc networks</v>
      </c>
      <c r="E15" s="68" t="s">
        <v>1937</v>
      </c>
      <c r="F15" s="68">
        <v>4.0999999999999996</v>
      </c>
      <c r="G15" s="68" t="s">
        <v>7</v>
      </c>
      <c r="H15" s="68" t="s">
        <v>1087</v>
      </c>
    </row>
    <row r="16" spans="1:8" ht="15.75" customHeight="1" x14ac:dyDescent="0.15">
      <c r="A16" s="68" t="s">
        <v>1920</v>
      </c>
      <c r="B16" s="68" t="s">
        <v>1921</v>
      </c>
      <c r="C16" s="68">
        <v>5</v>
      </c>
      <c r="D16" s="68" t="str">
        <f t="shared" si="0"/>
        <v>IT and the world of work::5::Judge the security of ad hoc networks</v>
      </c>
      <c r="E16" s="68" t="s">
        <v>1938</v>
      </c>
      <c r="F16" s="68">
        <v>4.0999999999999996</v>
      </c>
      <c r="G16" s="68" t="s">
        <v>7</v>
      </c>
      <c r="H16" s="68" t="s">
        <v>1087</v>
      </c>
    </row>
    <row r="17" spans="1:8" ht="15.75" customHeight="1" x14ac:dyDescent="0.15">
      <c r="A17" s="68" t="s">
        <v>1920</v>
      </c>
      <c r="B17" s="68" t="s">
        <v>1921</v>
      </c>
      <c r="C17" s="68">
        <v>6</v>
      </c>
      <c r="D17" s="68" t="str">
        <f t="shared" si="0"/>
        <v>IT and the world of work::6::Evaluate the impact of mental well-being on individuals</v>
      </c>
      <c r="E17" s="68" t="s">
        <v>1939</v>
      </c>
      <c r="F17" s="68">
        <v>4.0999999999999996</v>
      </c>
      <c r="G17" s="68" t="s">
        <v>1928</v>
      </c>
      <c r="H17" s="68" t="s">
        <v>1087</v>
      </c>
    </row>
    <row r="18" spans="1:8" ht="15.75" customHeight="1" x14ac:dyDescent="0.15">
      <c r="A18" s="68" t="s">
        <v>1920</v>
      </c>
      <c r="B18" s="68" t="s">
        <v>1921</v>
      </c>
      <c r="C18" s="68">
        <v>6</v>
      </c>
      <c r="D18" s="68" t="str">
        <f t="shared" si="0"/>
        <v>IT and the world of work::6::Evaluate the impact of physical well-being on individuals</v>
      </c>
      <c r="E18" s="68" t="s">
        <v>1940</v>
      </c>
      <c r="F18" s="68">
        <v>4.0999999999999996</v>
      </c>
      <c r="G18" s="68" t="s">
        <v>1928</v>
      </c>
      <c r="H18" s="68" t="s">
        <v>1087</v>
      </c>
    </row>
    <row r="19" spans="1:8" ht="15.75" customHeight="1" x14ac:dyDescent="0.15">
      <c r="A19" s="68" t="s">
        <v>1920</v>
      </c>
      <c r="B19" s="68" t="s">
        <v>1921</v>
      </c>
      <c r="C19" s="68">
        <v>6</v>
      </c>
      <c r="D19" s="68" t="str">
        <f t="shared" si="0"/>
        <v>IT and the world of work::6::Create a positive working environment</v>
      </c>
      <c r="E19" s="68" t="s">
        <v>1941</v>
      </c>
      <c r="F19" s="68">
        <v>4.0999999999999996</v>
      </c>
      <c r="G19" s="68" t="s">
        <v>1928</v>
      </c>
      <c r="H19" s="68" t="s">
        <v>1087</v>
      </c>
    </row>
    <row r="20" spans="1:8" ht="15.75" customHeight="1" x14ac:dyDescent="0.15">
      <c r="A20" s="68" t="s">
        <v>1920</v>
      </c>
      <c r="B20" s="68" t="s">
        <v>1942</v>
      </c>
      <c r="C20" s="68">
        <v>1</v>
      </c>
      <c r="D20" s="68" t="str">
        <f t="shared" si="0"/>
        <v>IT project management::1::Define the term project management</v>
      </c>
      <c r="E20" s="68" t="s">
        <v>1943</v>
      </c>
      <c r="F20" s="68" t="s">
        <v>1944</v>
      </c>
      <c r="G20" s="68" t="s">
        <v>16</v>
      </c>
      <c r="H20" s="68" t="s">
        <v>1087</v>
      </c>
    </row>
    <row r="21" spans="1:8" ht="15.75" customHeight="1" x14ac:dyDescent="0.15">
      <c r="A21" s="68" t="s">
        <v>1920</v>
      </c>
      <c r="B21" s="68" t="s">
        <v>1942</v>
      </c>
      <c r="C21" s="68">
        <v>1</v>
      </c>
      <c r="D21" s="68" t="str">
        <f t="shared" si="0"/>
        <v>IT project management::1::Identify why the use of project management is important</v>
      </c>
      <c r="E21" s="68" t="s">
        <v>1945</v>
      </c>
      <c r="F21" s="68" t="s">
        <v>1944</v>
      </c>
      <c r="G21" s="68" t="s">
        <v>16</v>
      </c>
      <c r="H21" s="68" t="s">
        <v>1087</v>
      </c>
    </row>
    <row r="22" spans="1:8" ht="15.75" customHeight="1" x14ac:dyDescent="0.15">
      <c r="A22" s="68" t="s">
        <v>1920</v>
      </c>
      <c r="B22" s="68" t="s">
        <v>1942</v>
      </c>
      <c r="C22" s="68">
        <v>1</v>
      </c>
      <c r="D22" s="68" t="str">
        <f t="shared" si="0"/>
        <v>IT project management::1::Select appropriate project management methodologies</v>
      </c>
      <c r="E22" s="68" t="s">
        <v>1946</v>
      </c>
      <c r="F22" s="68" t="s">
        <v>1944</v>
      </c>
      <c r="G22" s="68" t="s">
        <v>16</v>
      </c>
      <c r="H22" s="68" t="s">
        <v>1087</v>
      </c>
    </row>
    <row r="23" spans="1:8" ht="15.75" customHeight="1" x14ac:dyDescent="0.15">
      <c r="A23" s="68" t="s">
        <v>1920</v>
      </c>
      <c r="B23" s="68" t="s">
        <v>1942</v>
      </c>
      <c r="C23" s="68">
        <v>2</v>
      </c>
      <c r="D23" s="68" t="str">
        <f t="shared" si="0"/>
        <v>IT project management::2::Analyse a project brief</v>
      </c>
      <c r="E23" s="68" t="s">
        <v>1947</v>
      </c>
      <c r="F23" s="68" t="s">
        <v>1944</v>
      </c>
      <c r="G23" s="68" t="s">
        <v>16</v>
      </c>
      <c r="H23" s="68" t="s">
        <v>1087</v>
      </c>
    </row>
    <row r="24" spans="1:8" ht="15.75" customHeight="1" x14ac:dyDescent="0.15">
      <c r="A24" s="68" t="s">
        <v>1920</v>
      </c>
      <c r="B24" s="68" t="s">
        <v>1942</v>
      </c>
      <c r="C24" s="68">
        <v>2</v>
      </c>
      <c r="D24" s="68" t="str">
        <f t="shared" si="0"/>
        <v>IT project management::2::Identify the user requirements of a project</v>
      </c>
      <c r="E24" s="68" t="s">
        <v>1948</v>
      </c>
      <c r="F24" s="68" t="s">
        <v>1944</v>
      </c>
      <c r="G24" s="68" t="s">
        <v>16</v>
      </c>
      <c r="H24" s="68" t="s">
        <v>1087</v>
      </c>
    </row>
    <row r="25" spans="1:8" ht="15.75" customHeight="1" x14ac:dyDescent="0.15">
      <c r="A25" s="68" t="s">
        <v>1920</v>
      </c>
      <c r="B25" s="68" t="s">
        <v>1942</v>
      </c>
      <c r="C25" s="68">
        <v>2</v>
      </c>
      <c r="D25" s="68" t="str">
        <f t="shared" si="0"/>
        <v>IT project management::2::Evaluate the constraints of a project</v>
      </c>
      <c r="E25" s="68" t="s">
        <v>1949</v>
      </c>
      <c r="F25" s="68" t="s">
        <v>1944</v>
      </c>
      <c r="G25" s="68" t="s">
        <v>16</v>
      </c>
      <c r="H25" s="68" t="s">
        <v>1087</v>
      </c>
    </row>
    <row r="26" spans="1:8" ht="15.75" customHeight="1" x14ac:dyDescent="0.15">
      <c r="A26" s="68" t="s">
        <v>1920</v>
      </c>
      <c r="B26" s="68" t="s">
        <v>1942</v>
      </c>
      <c r="C26" s="68">
        <v>3</v>
      </c>
      <c r="D26" s="68" t="str">
        <f t="shared" si="0"/>
        <v>IT project management::3::Identify objectives relating to a project</v>
      </c>
      <c r="E26" s="68" t="s">
        <v>1950</v>
      </c>
      <c r="F26" s="68" t="s">
        <v>1944</v>
      </c>
      <c r="G26" s="68" t="s">
        <v>16</v>
      </c>
      <c r="H26" s="68" t="s">
        <v>1087</v>
      </c>
    </row>
    <row r="27" spans="1:8" ht="15.75" customHeight="1" x14ac:dyDescent="0.15">
      <c r="A27" s="68" t="s">
        <v>1920</v>
      </c>
      <c r="B27" s="68" t="s">
        <v>1942</v>
      </c>
      <c r="C27" s="68">
        <v>3</v>
      </c>
      <c r="D27" s="68" t="str">
        <f t="shared" si="0"/>
        <v>IT project management::3::Develop objectives into SMART goals</v>
      </c>
      <c r="E27" s="68" t="s">
        <v>1951</v>
      </c>
      <c r="F27" s="68" t="s">
        <v>1944</v>
      </c>
      <c r="G27" s="68" t="s">
        <v>16</v>
      </c>
      <c r="H27" s="68" t="s">
        <v>1087</v>
      </c>
    </row>
    <row r="28" spans="1:8" ht="15.75" customHeight="1" x14ac:dyDescent="0.15">
      <c r="A28" s="68" t="s">
        <v>1920</v>
      </c>
      <c r="B28" s="68" t="s">
        <v>1942</v>
      </c>
      <c r="C28" s="68">
        <v>3</v>
      </c>
      <c r="D28" s="68" t="str">
        <f t="shared" si="0"/>
        <v>IT project management::3::Define ‘iteration’ and ‘interaction’</v>
      </c>
      <c r="E28" s="68" t="s">
        <v>1952</v>
      </c>
      <c r="F28" s="68" t="s">
        <v>1944</v>
      </c>
      <c r="G28" s="68" t="s">
        <v>16</v>
      </c>
      <c r="H28" s="68" t="s">
        <v>1087</v>
      </c>
    </row>
    <row r="29" spans="1:8" ht="15.75" customHeight="1" x14ac:dyDescent="0.15">
      <c r="A29" s="68" t="s">
        <v>1920</v>
      </c>
      <c r="B29" s="68" t="s">
        <v>1942</v>
      </c>
      <c r="C29" s="68">
        <v>4</v>
      </c>
      <c r="D29" s="68" t="str">
        <f t="shared" si="0"/>
        <v>IT project management::4::Create a Gantt chart</v>
      </c>
      <c r="E29" s="68" t="s">
        <v>1953</v>
      </c>
      <c r="F29" s="68" t="s">
        <v>1944</v>
      </c>
      <c r="G29" s="68" t="s">
        <v>1685</v>
      </c>
      <c r="H29" s="68" t="s">
        <v>1087</v>
      </c>
    </row>
    <row r="30" spans="1:8" ht="15.75" customHeight="1" x14ac:dyDescent="0.15">
      <c r="A30" s="68" t="s">
        <v>1920</v>
      </c>
      <c r="B30" s="68" t="s">
        <v>1942</v>
      </c>
      <c r="C30" s="68">
        <v>4</v>
      </c>
      <c r="D30" s="68" t="str">
        <f t="shared" si="0"/>
        <v>IT project management::4::Create a PERT chart</v>
      </c>
      <c r="E30" s="68" t="s">
        <v>1954</v>
      </c>
      <c r="F30" s="68" t="s">
        <v>1944</v>
      </c>
      <c r="G30" s="68" t="s">
        <v>1685</v>
      </c>
      <c r="H30" s="68" t="s">
        <v>1087</v>
      </c>
    </row>
    <row r="31" spans="1:8" ht="15.75" customHeight="1" x14ac:dyDescent="0.15">
      <c r="A31" s="68" t="s">
        <v>1920</v>
      </c>
      <c r="B31" s="68" t="s">
        <v>1942</v>
      </c>
      <c r="C31" s="68">
        <v>4</v>
      </c>
      <c r="D31" s="68" t="str">
        <f t="shared" si="0"/>
        <v>IT project management::4::Evaluate planning tools</v>
      </c>
      <c r="E31" s="68" t="s">
        <v>1955</v>
      </c>
      <c r="F31" s="68" t="s">
        <v>1944</v>
      </c>
      <c r="G31" s="68" t="s">
        <v>16</v>
      </c>
      <c r="H31" s="68" t="s">
        <v>1087</v>
      </c>
    </row>
    <row r="32" spans="1:8" ht="15.75" customHeight="1" x14ac:dyDescent="0.15">
      <c r="A32" s="68" t="s">
        <v>1920</v>
      </c>
      <c r="B32" s="68" t="s">
        <v>1942</v>
      </c>
      <c r="C32" s="68">
        <v>5</v>
      </c>
      <c r="D32" s="68" t="str">
        <f t="shared" si="0"/>
        <v>IT project management::5::Create an appropriate spreadsheet for a project</v>
      </c>
      <c r="E32" s="68" t="s">
        <v>1956</v>
      </c>
      <c r="F32" s="68" t="s">
        <v>1944</v>
      </c>
      <c r="G32" s="68" t="s">
        <v>1299</v>
      </c>
      <c r="H32" s="68" t="s">
        <v>1087</v>
      </c>
    </row>
    <row r="33" spans="1:8" ht="15.75" customHeight="1" x14ac:dyDescent="0.15">
      <c r="A33" s="68" t="s">
        <v>1920</v>
      </c>
      <c r="B33" s="68" t="s">
        <v>1942</v>
      </c>
      <c r="C33" s="68">
        <v>5</v>
      </c>
      <c r="D33" s="68" t="str">
        <f t="shared" si="0"/>
        <v>IT project management::5::Evaluate a spreadsheet</v>
      </c>
      <c r="E33" s="68" t="s">
        <v>1957</v>
      </c>
      <c r="F33" s="68" t="s">
        <v>1944</v>
      </c>
      <c r="G33" s="68" t="s">
        <v>1685</v>
      </c>
      <c r="H33" s="68" t="s">
        <v>1087</v>
      </c>
    </row>
    <row r="34" spans="1:8" ht="15.75" customHeight="1" x14ac:dyDescent="0.15">
      <c r="A34" s="68" t="s">
        <v>1920</v>
      </c>
      <c r="B34" s="68" t="s">
        <v>1942</v>
      </c>
      <c r="C34" s="68">
        <v>6</v>
      </c>
      <c r="D34" s="68" t="str">
        <f t="shared" si="0"/>
        <v>IT project management::6::Follow a design plan</v>
      </c>
      <c r="E34" s="68" t="s">
        <v>1958</v>
      </c>
      <c r="F34" s="68" t="s">
        <v>1944</v>
      </c>
      <c r="G34" s="68" t="s">
        <v>16</v>
      </c>
      <c r="H34" s="68" t="s">
        <v>1087</v>
      </c>
    </row>
    <row r="35" spans="1:8" ht="15.75" customHeight="1" x14ac:dyDescent="0.15">
      <c r="A35" s="68" t="s">
        <v>1920</v>
      </c>
      <c r="B35" s="68" t="s">
        <v>1942</v>
      </c>
      <c r="C35" s="68">
        <v>6</v>
      </c>
      <c r="D35" s="68" t="str">
        <f t="shared" si="0"/>
        <v>IT project management::6::Create visual media</v>
      </c>
      <c r="E35" s="68" t="s">
        <v>1959</v>
      </c>
      <c r="F35" s="68" t="s">
        <v>1944</v>
      </c>
      <c r="G35" s="68" t="s">
        <v>1183</v>
      </c>
      <c r="H35" s="68" t="s">
        <v>1087</v>
      </c>
    </row>
    <row r="36" spans="1:8" ht="15.75" customHeight="1" x14ac:dyDescent="0.15">
      <c r="A36" s="68" t="s">
        <v>1920</v>
      </c>
      <c r="B36" s="68" t="s">
        <v>1942</v>
      </c>
      <c r="C36" s="68">
        <v>6</v>
      </c>
      <c r="D36" s="68" t="str">
        <f t="shared" si="0"/>
        <v>IT project management::6::Assess the effectiveness of planning for the visual elements of a project</v>
      </c>
      <c r="E36" s="68" t="s">
        <v>1960</v>
      </c>
      <c r="F36" s="68" t="s">
        <v>1944</v>
      </c>
      <c r="G36" s="68" t="s">
        <v>1183</v>
      </c>
      <c r="H36" s="68" t="s">
        <v>1087</v>
      </c>
    </row>
    <row r="37" spans="1:8" ht="15.75" customHeight="1" x14ac:dyDescent="0.15">
      <c r="A37" s="68" t="s">
        <v>1920</v>
      </c>
      <c r="B37" s="68" t="s">
        <v>1942</v>
      </c>
      <c r="C37" s="68">
        <v>7</v>
      </c>
      <c r="D37" s="68" t="str">
        <f t="shared" si="0"/>
        <v>IT project management::7::Evaluate the overall success of a completed project</v>
      </c>
      <c r="E37" s="68" t="s">
        <v>1961</v>
      </c>
      <c r="F37" s="68" t="s">
        <v>1944</v>
      </c>
      <c r="G37" s="68" t="s">
        <v>16</v>
      </c>
      <c r="H37" s="68" t="s">
        <v>1087</v>
      </c>
    </row>
    <row r="38" spans="1:8" ht="15.75" customHeight="1" x14ac:dyDescent="0.15">
      <c r="A38" s="68" t="s">
        <v>1920</v>
      </c>
      <c r="B38" s="68" t="s">
        <v>1942</v>
      </c>
      <c r="C38" s="68">
        <v>7</v>
      </c>
      <c r="D38" s="68" t="str">
        <f t="shared" si="0"/>
        <v>IT project management::7::Test the effectiveness of developed products</v>
      </c>
      <c r="E38" s="68" t="s">
        <v>1962</v>
      </c>
      <c r="F38" s="68" t="s">
        <v>1944</v>
      </c>
      <c r="G38" s="68" t="s">
        <v>16</v>
      </c>
      <c r="H38" s="68" t="s">
        <v>1087</v>
      </c>
    </row>
    <row r="39" spans="1:8" ht="15.75" customHeight="1" x14ac:dyDescent="0.15">
      <c r="A39" s="68" t="s">
        <v>1920</v>
      </c>
      <c r="B39" s="68" t="s">
        <v>1942</v>
      </c>
      <c r="C39" s="68">
        <v>8</v>
      </c>
      <c r="D39" s="68" t="str">
        <f t="shared" si="0"/>
        <v>IT project management::8::Identify the user requirements of a project</v>
      </c>
      <c r="E39" s="68" t="s">
        <v>1948</v>
      </c>
      <c r="F39" s="68" t="s">
        <v>1944</v>
      </c>
      <c r="G39" s="68" t="s">
        <v>16</v>
      </c>
      <c r="H39" s="68" t="s">
        <v>1087</v>
      </c>
    </row>
    <row r="40" spans="1:8" ht="15.75" customHeight="1" x14ac:dyDescent="0.15">
      <c r="A40" s="68" t="s">
        <v>1920</v>
      </c>
      <c r="B40" s="68" t="s">
        <v>1942</v>
      </c>
      <c r="C40" s="68">
        <v>8</v>
      </c>
      <c r="D40" s="68" t="str">
        <f t="shared" si="0"/>
        <v>IT project management::8::Evaluate the constraints of a project</v>
      </c>
      <c r="E40" s="68" t="s">
        <v>1949</v>
      </c>
      <c r="F40" s="68" t="s">
        <v>1944</v>
      </c>
      <c r="G40" s="68" t="s">
        <v>16</v>
      </c>
      <c r="H40" s="68" t="s">
        <v>1087</v>
      </c>
    </row>
    <row r="41" spans="1:8" ht="15.75" customHeight="1" x14ac:dyDescent="0.15">
      <c r="A41" s="68" t="s">
        <v>1920</v>
      </c>
      <c r="B41" s="68" t="s">
        <v>1942</v>
      </c>
      <c r="C41" s="68">
        <v>8</v>
      </c>
      <c r="D41" s="68" t="str">
        <f t="shared" si="0"/>
        <v>IT project management::8::Develop documentation for the first stage of a project</v>
      </c>
      <c r="E41" s="68" t="s">
        <v>1963</v>
      </c>
      <c r="F41" s="68" t="s">
        <v>1944</v>
      </c>
      <c r="G41" s="68" t="s">
        <v>16</v>
      </c>
      <c r="H41" s="68" t="s">
        <v>1087</v>
      </c>
    </row>
    <row r="42" spans="1:8" ht="15.75" customHeight="1" x14ac:dyDescent="0.15">
      <c r="A42" s="68" t="s">
        <v>1920</v>
      </c>
      <c r="B42" s="68" t="s">
        <v>1942</v>
      </c>
      <c r="C42" s="68">
        <v>9</v>
      </c>
      <c r="D42" s="68" t="str">
        <f t="shared" si="0"/>
        <v>IT project management::9::Create planning documents for a project</v>
      </c>
      <c r="E42" s="68" t="s">
        <v>1964</v>
      </c>
      <c r="F42" s="68" t="s">
        <v>1944</v>
      </c>
      <c r="G42" s="68" t="s">
        <v>16</v>
      </c>
      <c r="H42" s="68" t="s">
        <v>1087</v>
      </c>
    </row>
    <row r="43" spans="1:8" ht="15.75" customHeight="1" x14ac:dyDescent="0.15">
      <c r="A43" s="68" t="s">
        <v>1920</v>
      </c>
      <c r="B43" s="68" t="s">
        <v>1942</v>
      </c>
      <c r="C43" s="68">
        <v>9</v>
      </c>
      <c r="D43" s="68" t="str">
        <f t="shared" si="0"/>
        <v>IT project management::9::Create project products</v>
      </c>
      <c r="E43" s="68" t="s">
        <v>1965</v>
      </c>
      <c r="F43" s="68" t="s">
        <v>1944</v>
      </c>
      <c r="G43" s="68" t="s">
        <v>16</v>
      </c>
      <c r="H43" s="68" t="s">
        <v>1087</v>
      </c>
    </row>
    <row r="44" spans="1:8" ht="15.75" customHeight="1" x14ac:dyDescent="0.15">
      <c r="A44" s="68" t="s">
        <v>1920</v>
      </c>
      <c r="B44" s="68" t="s">
        <v>1942</v>
      </c>
      <c r="C44" s="68">
        <v>9</v>
      </c>
      <c r="D44" s="68" t="str">
        <f t="shared" si="0"/>
        <v>IT project management::9::Develop testing documentation</v>
      </c>
      <c r="E44" s="68" t="s">
        <v>1966</v>
      </c>
      <c r="F44" s="68" t="s">
        <v>1944</v>
      </c>
      <c r="G44" s="68" t="s">
        <v>16</v>
      </c>
      <c r="H44" s="68" t="s">
        <v>1087</v>
      </c>
    </row>
    <row r="45" spans="1:8" ht="15.75" customHeight="1" x14ac:dyDescent="0.15">
      <c r="A45" s="68" t="s">
        <v>1920</v>
      </c>
      <c r="B45" s="68" t="s">
        <v>1942</v>
      </c>
      <c r="C45" s="68">
        <v>10</v>
      </c>
      <c r="D45" s="68" t="str">
        <f t="shared" si="0"/>
        <v>IT project management::10::Evaluate a completed project</v>
      </c>
      <c r="E45" s="68" t="s">
        <v>1967</v>
      </c>
      <c r="F45" s="68" t="s">
        <v>1944</v>
      </c>
      <c r="G45" s="68" t="s">
        <v>16</v>
      </c>
      <c r="H45" s="68" t="s">
        <v>1087</v>
      </c>
    </row>
    <row r="46" spans="1:8" ht="15.75" customHeight="1" x14ac:dyDescent="0.15">
      <c r="A46" s="68" t="s">
        <v>1920</v>
      </c>
      <c r="B46" s="68" t="s">
        <v>1968</v>
      </c>
      <c r="C46" s="68">
        <v>1</v>
      </c>
      <c r="D46" s="68" t="str">
        <f t="shared" si="0"/>
        <v>Media::1::Describe the term ‘pre-production’</v>
      </c>
      <c r="E46" s="68" t="s">
        <v>1969</v>
      </c>
      <c r="F46" s="68">
        <v>4.0999999999999996</v>
      </c>
      <c r="G46" s="68" t="s">
        <v>16</v>
      </c>
      <c r="H46" s="68" t="s">
        <v>1087</v>
      </c>
    </row>
    <row r="47" spans="1:8" ht="15.75" customHeight="1" x14ac:dyDescent="0.15">
      <c r="A47" s="68" t="s">
        <v>1920</v>
      </c>
      <c r="B47" s="68" t="s">
        <v>1968</v>
      </c>
      <c r="C47" s="68">
        <v>1</v>
      </c>
      <c r="D47" s="68" t="str">
        <f t="shared" si="0"/>
        <v>Media::1::Compare planning tools available for pre-production</v>
      </c>
      <c r="E47" s="68" t="s">
        <v>1970</v>
      </c>
      <c r="F47" s="68">
        <v>4.0999999999999996</v>
      </c>
      <c r="G47" s="68" t="s">
        <v>1685</v>
      </c>
      <c r="H47" s="68" t="s">
        <v>1087</v>
      </c>
    </row>
    <row r="48" spans="1:8" ht="15.75" customHeight="1" x14ac:dyDescent="0.15">
      <c r="A48" s="68" t="s">
        <v>1920</v>
      </c>
      <c r="B48" s="68" t="s">
        <v>1968</v>
      </c>
      <c r="C48" s="68">
        <v>1</v>
      </c>
      <c r="D48" s="68" t="str">
        <f t="shared" si="0"/>
        <v>Media::1::Create pre-production planning materials</v>
      </c>
      <c r="E48" s="68" t="s">
        <v>1971</v>
      </c>
      <c r="F48" s="68">
        <v>4.0999999999999996</v>
      </c>
      <c r="G48" s="68" t="s">
        <v>16</v>
      </c>
      <c r="H48" s="68" t="s">
        <v>1087</v>
      </c>
    </row>
    <row r="49" spans="1:8" ht="15.75" customHeight="1" x14ac:dyDescent="0.15">
      <c r="A49" s="68" t="s">
        <v>1920</v>
      </c>
      <c r="B49" s="68" t="s">
        <v>1968</v>
      </c>
      <c r="C49" s="68">
        <v>2</v>
      </c>
      <c r="D49" s="68" t="str">
        <f t="shared" si="0"/>
        <v>Media::2::Describe the two main types of digital graphics: raster and vector</v>
      </c>
      <c r="E49" s="68" t="s">
        <v>1972</v>
      </c>
      <c r="F49" s="68">
        <v>4.0999999999999996</v>
      </c>
      <c r="G49" s="68" t="s">
        <v>1197</v>
      </c>
      <c r="H49" s="68" t="s">
        <v>1087</v>
      </c>
    </row>
    <row r="50" spans="1:8" ht="15.75" customHeight="1" x14ac:dyDescent="0.15">
      <c r="A50" s="68" t="s">
        <v>1920</v>
      </c>
      <c r="B50" s="68" t="s">
        <v>1968</v>
      </c>
      <c r="C50" s="68">
        <v>2</v>
      </c>
      <c r="D50" s="68" t="str">
        <f t="shared" si="0"/>
        <v>Media::2::Name associated file formats for types of digital graphics</v>
      </c>
      <c r="E50" s="68" t="s">
        <v>1973</v>
      </c>
      <c r="F50" s="68">
        <v>4.0999999999999996</v>
      </c>
      <c r="G50" s="68" t="s">
        <v>10</v>
      </c>
      <c r="H50" s="68" t="s">
        <v>1087</v>
      </c>
    </row>
    <row r="51" spans="1:8" ht="13" x14ac:dyDescent="0.15">
      <c r="A51" s="68" t="s">
        <v>1920</v>
      </c>
      <c r="B51" s="68" t="s">
        <v>1968</v>
      </c>
      <c r="C51" s="68">
        <v>2</v>
      </c>
      <c r="D51" s="68" t="str">
        <f t="shared" si="0"/>
        <v>Media::2::Utilise open source software to create both types of digital graphics</v>
      </c>
      <c r="E51" s="68" t="s">
        <v>1974</v>
      </c>
      <c r="F51" s="68">
        <v>4.0999999999999996</v>
      </c>
      <c r="G51" s="68" t="s">
        <v>1086</v>
      </c>
      <c r="H51" s="68" t="s">
        <v>1087</v>
      </c>
    </row>
    <row r="52" spans="1:8" ht="13" x14ac:dyDescent="0.15">
      <c r="A52" s="68" t="s">
        <v>1920</v>
      </c>
      <c r="B52" s="68" t="s">
        <v>1968</v>
      </c>
      <c r="C52" s="68">
        <v>2</v>
      </c>
      <c r="D52" s="68" t="str">
        <f t="shared" si="0"/>
        <v>Media::2::Identify the resources required for creating digital graphics</v>
      </c>
      <c r="E52" s="68" t="s">
        <v>1975</v>
      </c>
      <c r="F52" s="68">
        <v>4.0999999999999996</v>
      </c>
      <c r="G52" s="68" t="s">
        <v>1086</v>
      </c>
      <c r="H52" s="68" t="s">
        <v>1087</v>
      </c>
    </row>
    <row r="53" spans="1:8" ht="13" x14ac:dyDescent="0.15">
      <c r="A53" s="68" t="s">
        <v>1920</v>
      </c>
      <c r="B53" s="68" t="s">
        <v>1968</v>
      </c>
      <c r="C53" s="68">
        <v>2</v>
      </c>
      <c r="D53" s="68" t="str">
        <f t="shared" si="0"/>
        <v>Media::2::Recognise the legislation regarding use of digital graphics</v>
      </c>
      <c r="E53" s="68" t="s">
        <v>1976</v>
      </c>
      <c r="F53" s="68">
        <v>4.0999999999999996</v>
      </c>
      <c r="G53" s="68" t="s">
        <v>1464</v>
      </c>
      <c r="H53" s="68" t="s">
        <v>1087</v>
      </c>
    </row>
    <row r="54" spans="1:8" ht="13" x14ac:dyDescent="0.15">
      <c r="A54" s="68" t="s">
        <v>1920</v>
      </c>
      <c r="B54" s="68" t="s">
        <v>1968</v>
      </c>
      <c r="C54" s="68">
        <v>3</v>
      </c>
      <c r="D54" s="68" t="str">
        <f t="shared" si="0"/>
        <v>Media::3::Name the different camera angles used in video production</v>
      </c>
      <c r="E54" s="68" t="s">
        <v>1977</v>
      </c>
      <c r="F54" s="68">
        <v>4.0999999999999996</v>
      </c>
      <c r="G54" s="68" t="s">
        <v>10</v>
      </c>
      <c r="H54" s="68" t="s">
        <v>1087</v>
      </c>
    </row>
    <row r="55" spans="1:8" ht="13" x14ac:dyDescent="0.15">
      <c r="A55" s="68" t="s">
        <v>1920</v>
      </c>
      <c r="B55" s="68" t="s">
        <v>1968</v>
      </c>
      <c r="C55" s="68">
        <v>3</v>
      </c>
      <c r="D55" s="68" t="str">
        <f t="shared" si="0"/>
        <v>Media::3::Recognise different file formats and properties of digital video</v>
      </c>
      <c r="E55" s="68" t="s">
        <v>1978</v>
      </c>
      <c r="F55" s="68">
        <v>4.0999999999999996</v>
      </c>
      <c r="G55" s="68" t="s">
        <v>10</v>
      </c>
      <c r="H55" s="68" t="s">
        <v>1087</v>
      </c>
    </row>
    <row r="56" spans="1:8" ht="13" x14ac:dyDescent="0.15">
      <c r="A56" s="68" t="s">
        <v>1920</v>
      </c>
      <c r="B56" s="68" t="s">
        <v>1968</v>
      </c>
      <c r="C56" s="68">
        <v>3</v>
      </c>
      <c r="D56" s="68" t="str">
        <f t="shared" si="0"/>
        <v>Media::3::Utilise the software required for digital video creation</v>
      </c>
      <c r="E56" s="68" t="s">
        <v>1979</v>
      </c>
      <c r="F56" s="68">
        <v>4.0999999999999996</v>
      </c>
      <c r="G56" s="68" t="s">
        <v>1086</v>
      </c>
      <c r="H56" s="68" t="s">
        <v>1087</v>
      </c>
    </row>
    <row r="57" spans="1:8" ht="13" x14ac:dyDescent="0.15">
      <c r="A57" s="68" t="s">
        <v>1920</v>
      </c>
      <c r="B57" s="68" t="s">
        <v>1968</v>
      </c>
      <c r="C57" s="68">
        <v>4</v>
      </c>
      <c r="D57" s="68" t="str">
        <f t="shared" si="0"/>
        <v>Media::4::Discuss the features and properties of websites</v>
      </c>
      <c r="E57" s="68" t="s">
        <v>1980</v>
      </c>
      <c r="F57" s="68">
        <v>4.0999999999999996</v>
      </c>
      <c r="G57" s="68" t="s">
        <v>1346</v>
      </c>
      <c r="H57" s="68" t="s">
        <v>1087</v>
      </c>
    </row>
    <row r="58" spans="1:8" ht="13" x14ac:dyDescent="0.15">
      <c r="A58" s="68" t="s">
        <v>1920</v>
      </c>
      <c r="B58" s="68" t="s">
        <v>1968</v>
      </c>
      <c r="C58" s="68">
        <v>4</v>
      </c>
      <c r="D58" s="68" t="str">
        <f t="shared" si="0"/>
        <v>Media::4::Plan a multi-page website</v>
      </c>
      <c r="E58" s="68" t="s">
        <v>1981</v>
      </c>
      <c r="F58" s="68">
        <v>4.0999999999999996</v>
      </c>
      <c r="G58" s="68" t="s">
        <v>1543</v>
      </c>
      <c r="H58" s="68" t="s">
        <v>1087</v>
      </c>
    </row>
    <row r="59" spans="1:8" ht="13" x14ac:dyDescent="0.15">
      <c r="A59" s="68" t="s">
        <v>1920</v>
      </c>
      <c r="B59" s="68" t="s">
        <v>1968</v>
      </c>
      <c r="C59" s="68">
        <v>4</v>
      </c>
      <c r="D59" s="68" t="str">
        <f t="shared" si="0"/>
        <v>Media::4::Create a multi-page website using open source tools</v>
      </c>
      <c r="E59" s="68" t="s">
        <v>1982</v>
      </c>
      <c r="F59" s="68">
        <v>4.0999999999999996</v>
      </c>
      <c r="G59" s="68" t="s">
        <v>1553</v>
      </c>
      <c r="H59" s="68" t="s">
        <v>1087</v>
      </c>
    </row>
    <row r="60" spans="1:8" ht="13" x14ac:dyDescent="0.15">
      <c r="A60" s="68" t="s">
        <v>1920</v>
      </c>
      <c r="B60" s="68" t="s">
        <v>1968</v>
      </c>
      <c r="C60" s="68">
        <v>5</v>
      </c>
      <c r="D60" s="68" t="str">
        <f t="shared" si="0"/>
        <v>Media::5::Plan a digital media artefact from a selected client brief</v>
      </c>
      <c r="E60" s="68" t="s">
        <v>1983</v>
      </c>
      <c r="F60" s="68">
        <v>4.0999999999999996</v>
      </c>
      <c r="G60" s="68" t="s">
        <v>1094</v>
      </c>
      <c r="H60" s="68" t="s">
        <v>1087</v>
      </c>
    </row>
    <row r="61" spans="1:8" ht="13" x14ac:dyDescent="0.15">
      <c r="A61" s="68" t="s">
        <v>1920</v>
      </c>
      <c r="B61" s="68" t="s">
        <v>1968</v>
      </c>
      <c r="C61" s="68">
        <v>6</v>
      </c>
      <c r="D61" s="68" t="str">
        <f t="shared" si="0"/>
        <v>Media::6::Create media artefacts</v>
      </c>
      <c r="E61" s="68" t="s">
        <v>1984</v>
      </c>
      <c r="F61" s="68">
        <v>4.0999999999999996</v>
      </c>
      <c r="G61" s="68" t="s">
        <v>1094</v>
      </c>
      <c r="H61" s="68" t="s">
        <v>1087</v>
      </c>
    </row>
    <row r="62" spans="1:8" ht="13" x14ac:dyDescent="0.15">
      <c r="A62" s="68" t="s">
        <v>1920</v>
      </c>
      <c r="B62" s="68" t="s">
        <v>1968</v>
      </c>
      <c r="C62" s="68">
        <v>7</v>
      </c>
      <c r="D62" s="68" t="str">
        <f t="shared" si="0"/>
        <v>Media::7::Evaluate design decisions for media artefacts</v>
      </c>
      <c r="E62" s="68" t="s">
        <v>1985</v>
      </c>
      <c r="F62" s="68">
        <v>4.0999999999999996</v>
      </c>
      <c r="G62" s="68" t="s">
        <v>1094</v>
      </c>
      <c r="H62" s="68" t="s">
        <v>1087</v>
      </c>
    </row>
    <row r="63" spans="1:8" ht="13" x14ac:dyDescent="0.15">
      <c r="A63" s="68" t="s">
        <v>1920</v>
      </c>
      <c r="B63" s="68" t="s">
        <v>127</v>
      </c>
      <c r="C63" s="68">
        <v>1</v>
      </c>
      <c r="D63" s="68" t="str">
        <f t="shared" si="0"/>
        <v>Object-oriented programming::1::Describe the role of conventions in programming</v>
      </c>
      <c r="E63" s="68" t="s">
        <v>1986</v>
      </c>
      <c r="F63" s="68" t="s">
        <v>1944</v>
      </c>
      <c r="G63" s="68" t="s">
        <v>28</v>
      </c>
      <c r="H63" s="68" t="s">
        <v>1087</v>
      </c>
    </row>
    <row r="64" spans="1:8" ht="13" x14ac:dyDescent="0.15">
      <c r="A64" s="68" t="s">
        <v>1920</v>
      </c>
      <c r="B64" s="68" t="s">
        <v>127</v>
      </c>
      <c r="C64" s="68">
        <v>1</v>
      </c>
      <c r="D64" s="68" t="str">
        <f t="shared" si="0"/>
        <v>Object-oriented programming::1::Recall that there are different paradigms for programming</v>
      </c>
      <c r="E64" s="68" t="s">
        <v>1987</v>
      </c>
      <c r="F64" s="68" t="s">
        <v>1944</v>
      </c>
      <c r="G64" s="68" t="s">
        <v>28</v>
      </c>
      <c r="H64" s="68" t="s">
        <v>1087</v>
      </c>
    </row>
    <row r="65" spans="1:8" ht="13" x14ac:dyDescent="0.15">
      <c r="A65" s="68" t="s">
        <v>1920</v>
      </c>
      <c r="B65" s="68" t="s">
        <v>127</v>
      </c>
      <c r="C65" s="68">
        <v>1</v>
      </c>
      <c r="D65" s="68" t="str">
        <f t="shared" si="0"/>
        <v>Object-oriented programming::1::Define object-oriented programming</v>
      </c>
      <c r="E65" s="68" t="s">
        <v>1988</v>
      </c>
      <c r="F65" s="68" t="s">
        <v>1944</v>
      </c>
      <c r="G65" s="68" t="s">
        <v>28</v>
      </c>
      <c r="H65" s="68" t="s">
        <v>1087</v>
      </c>
    </row>
    <row r="66" spans="1:8" ht="13" x14ac:dyDescent="0.15">
      <c r="A66" s="68" t="s">
        <v>1920</v>
      </c>
      <c r="B66" s="68" t="s">
        <v>127</v>
      </c>
      <c r="C66" s="68">
        <v>1</v>
      </c>
      <c r="D66" s="68" t="str">
        <f t="shared" si="0"/>
        <v>Object-oriented programming::1::Identify a class and object as a part of a program</v>
      </c>
      <c r="E66" s="68" t="s">
        <v>1989</v>
      </c>
      <c r="F66" s="68" t="s">
        <v>1944</v>
      </c>
      <c r="G66" s="68" t="s">
        <v>28</v>
      </c>
      <c r="H66" s="68" t="s">
        <v>1087</v>
      </c>
    </row>
    <row r="67" spans="1:8" ht="13" x14ac:dyDescent="0.15">
      <c r="A67" s="68" t="s">
        <v>1920</v>
      </c>
      <c r="B67" s="68" t="s">
        <v>127</v>
      </c>
      <c r="C67" s="68">
        <v>2</v>
      </c>
      <c r="D67" s="68" t="str">
        <f t="shared" si="0"/>
        <v>Object-oriented programming::2::Describe the relationship between a class and an object</v>
      </c>
      <c r="E67" s="68" t="s">
        <v>1990</v>
      </c>
      <c r="F67" s="68" t="s">
        <v>1944</v>
      </c>
      <c r="G67" s="68" t="s">
        <v>28</v>
      </c>
      <c r="H67" s="68" t="s">
        <v>1087</v>
      </c>
    </row>
    <row r="68" spans="1:8" ht="13" x14ac:dyDescent="0.15">
      <c r="A68" s="68" t="s">
        <v>1920</v>
      </c>
      <c r="B68" s="68" t="s">
        <v>127</v>
      </c>
      <c r="C68" s="68">
        <v>2</v>
      </c>
      <c r="D68" s="68" t="str">
        <f t="shared" si="0"/>
        <v>Object-oriented programming::2::Define attributes and methods as a part of a class</v>
      </c>
      <c r="E68" s="68" t="s">
        <v>1991</v>
      </c>
      <c r="F68" s="68" t="s">
        <v>1944</v>
      </c>
      <c r="G68" s="68" t="s">
        <v>28</v>
      </c>
      <c r="H68" s="68" t="s">
        <v>1087</v>
      </c>
    </row>
    <row r="69" spans="1:8" ht="13" x14ac:dyDescent="0.15">
      <c r="A69" s="68" t="s">
        <v>1920</v>
      </c>
      <c r="B69" s="68" t="s">
        <v>127</v>
      </c>
      <c r="C69" s="68">
        <v>2</v>
      </c>
      <c r="D69" s="68" t="str">
        <f t="shared" si="0"/>
        <v>Object-oriented programming::2::Use a constructor to create objects</v>
      </c>
      <c r="E69" s="68" t="s">
        <v>1992</v>
      </c>
      <c r="F69" s="68" t="s">
        <v>1944</v>
      </c>
      <c r="G69" s="68" t="s">
        <v>28</v>
      </c>
      <c r="H69" s="68" t="s">
        <v>1087</v>
      </c>
    </row>
    <row r="70" spans="1:8" ht="13" x14ac:dyDescent="0.15">
      <c r="A70" s="68" t="s">
        <v>1920</v>
      </c>
      <c r="B70" s="68" t="s">
        <v>127</v>
      </c>
      <c r="C70" s="68">
        <v>2</v>
      </c>
      <c r="D70" s="68" t="str">
        <f t="shared" si="0"/>
        <v>Object-oriented programming::2::Use a method and access an attribute on an object</v>
      </c>
      <c r="E70" s="68" t="s">
        <v>1993</v>
      </c>
      <c r="F70" s="68" t="s">
        <v>1944</v>
      </c>
      <c r="G70" s="68" t="s">
        <v>28</v>
      </c>
      <c r="H70" s="68" t="s">
        <v>1087</v>
      </c>
    </row>
    <row r="71" spans="1:8" ht="13" x14ac:dyDescent="0.15">
      <c r="A71" s="68" t="s">
        <v>1920</v>
      </c>
      <c r="B71" s="68" t="s">
        <v>127</v>
      </c>
      <c r="C71" s="68">
        <v>2</v>
      </c>
      <c r="D71" s="68" t="str">
        <f t="shared" si="0"/>
        <v>Object-oriented programming::2::Model a real world problem using object oriented programming conventions</v>
      </c>
      <c r="E71" s="68" t="s">
        <v>1994</v>
      </c>
      <c r="F71" s="68" t="s">
        <v>1944</v>
      </c>
      <c r="G71" s="68" t="s">
        <v>1154</v>
      </c>
      <c r="H71" s="68" t="s">
        <v>1087</v>
      </c>
    </row>
    <row r="72" spans="1:8" ht="13" x14ac:dyDescent="0.15">
      <c r="A72" s="68" t="s">
        <v>1920</v>
      </c>
      <c r="B72" s="68" t="s">
        <v>127</v>
      </c>
      <c r="C72" s="68">
        <v>3</v>
      </c>
      <c r="D72" s="68" t="str">
        <f t="shared" si="0"/>
        <v>Object-oriented programming::3::Create a class</v>
      </c>
      <c r="E72" s="68" t="s">
        <v>1995</v>
      </c>
      <c r="F72" s="68" t="s">
        <v>1944</v>
      </c>
      <c r="G72" s="68" t="s">
        <v>28</v>
      </c>
      <c r="H72" s="68" t="s">
        <v>1087</v>
      </c>
    </row>
    <row r="73" spans="1:8" ht="13" x14ac:dyDescent="0.15">
      <c r="A73" s="68" t="s">
        <v>1920</v>
      </c>
      <c r="B73" s="68" t="s">
        <v>127</v>
      </c>
      <c r="C73" s="68">
        <v>3</v>
      </c>
      <c r="D73" s="68" t="str">
        <f t="shared" si="0"/>
        <v>Object-oriented programming::3::Define the use of a self parameter in object-oriented Python</v>
      </c>
      <c r="E73" s="68" t="s">
        <v>1996</v>
      </c>
      <c r="F73" s="68" t="s">
        <v>1944</v>
      </c>
      <c r="G73" s="68" t="s">
        <v>28</v>
      </c>
      <c r="H73" s="68" t="s">
        <v>1087</v>
      </c>
    </row>
    <row r="74" spans="1:8" ht="13" x14ac:dyDescent="0.15">
      <c r="A74" s="68" t="s">
        <v>1920</v>
      </c>
      <c r="B74" s="68" t="s">
        <v>127</v>
      </c>
      <c r="C74" s="68">
        <v>3</v>
      </c>
      <c r="D74" s="68" t="str">
        <f t="shared" si="0"/>
        <v>Object-oriented programming::3::Create a method on a class</v>
      </c>
      <c r="E74" s="68" t="s">
        <v>1997</v>
      </c>
      <c r="F74" s="68" t="s">
        <v>1944</v>
      </c>
      <c r="G74" s="68" t="s">
        <v>28</v>
      </c>
      <c r="H74" s="68" t="s">
        <v>1087</v>
      </c>
    </row>
    <row r="75" spans="1:8" ht="13" x14ac:dyDescent="0.15">
      <c r="A75" s="68" t="s">
        <v>1920</v>
      </c>
      <c r="B75" s="68" t="s">
        <v>127</v>
      </c>
      <c r="C75" s="68">
        <v>3</v>
      </c>
      <c r="D75" s="68" t="str">
        <f t="shared" si="0"/>
        <v>Object-oriented programming::3::Access and modify attributes using getters and setters</v>
      </c>
      <c r="E75" s="68" t="s">
        <v>1998</v>
      </c>
      <c r="F75" s="68" t="s">
        <v>1944</v>
      </c>
      <c r="G75" s="68" t="s">
        <v>28</v>
      </c>
      <c r="H75" s="68" t="s">
        <v>1087</v>
      </c>
    </row>
    <row r="76" spans="1:8" ht="13" x14ac:dyDescent="0.15">
      <c r="A76" s="68" t="s">
        <v>1920</v>
      </c>
      <c r="B76" s="68" t="s">
        <v>127</v>
      </c>
      <c r="C76" s="68">
        <v>4</v>
      </c>
      <c r="D76" s="68" t="str">
        <f t="shared" si="0"/>
        <v>Object-oriented programming::4::Define the principle of inheritance</v>
      </c>
      <c r="E76" s="68" t="s">
        <v>1999</v>
      </c>
      <c r="F76" s="68" t="s">
        <v>1944</v>
      </c>
      <c r="G76" s="68" t="s">
        <v>28</v>
      </c>
      <c r="H76" s="68" t="s">
        <v>1087</v>
      </c>
    </row>
    <row r="77" spans="1:8" ht="13" x14ac:dyDescent="0.15">
      <c r="A77" s="68" t="s">
        <v>1920</v>
      </c>
      <c r="B77" s="68" t="s">
        <v>127</v>
      </c>
      <c r="C77" s="68">
        <v>4</v>
      </c>
      <c r="D77" s="68" t="str">
        <f t="shared" si="0"/>
        <v>Object-oriented programming::4::Define the terms superclass and subclass</v>
      </c>
      <c r="E77" s="68" t="s">
        <v>2000</v>
      </c>
      <c r="F77" s="68" t="s">
        <v>1944</v>
      </c>
      <c r="G77" s="68" t="s">
        <v>28</v>
      </c>
      <c r="H77" s="68" t="s">
        <v>1087</v>
      </c>
    </row>
    <row r="78" spans="1:8" ht="13" x14ac:dyDescent="0.15">
      <c r="A78" s="68" t="s">
        <v>1920</v>
      </c>
      <c r="B78" s="68" t="s">
        <v>127</v>
      </c>
      <c r="C78" s="68">
        <v>4</v>
      </c>
      <c r="D78" s="68" t="str">
        <f t="shared" si="0"/>
        <v>Object-oriented programming::4::Select appropriate uses of inheritance</v>
      </c>
      <c r="E78" s="68" t="s">
        <v>2001</v>
      </c>
      <c r="F78" s="68" t="s">
        <v>1944</v>
      </c>
      <c r="G78" s="68" t="s">
        <v>28</v>
      </c>
      <c r="H78" s="68" t="s">
        <v>1087</v>
      </c>
    </row>
    <row r="79" spans="1:8" ht="13" x14ac:dyDescent="0.15">
      <c r="A79" s="68" t="s">
        <v>1920</v>
      </c>
      <c r="B79" s="68" t="s">
        <v>127</v>
      </c>
      <c r="C79" s="68">
        <v>4</v>
      </c>
      <c r="D79" s="68" t="str">
        <f t="shared" si="0"/>
        <v>Object-oriented programming::4::Create a subclass in a program</v>
      </c>
      <c r="E79" s="68" t="s">
        <v>2002</v>
      </c>
      <c r="F79" s="68" t="s">
        <v>1944</v>
      </c>
      <c r="G79" s="68" t="s">
        <v>28</v>
      </c>
      <c r="H79" s="68" t="s">
        <v>1087</v>
      </c>
    </row>
    <row r="80" spans="1:8" ht="13" x14ac:dyDescent="0.15">
      <c r="A80" s="68" t="s">
        <v>1920</v>
      </c>
      <c r="B80" s="68" t="s">
        <v>127</v>
      </c>
      <c r="C80" s="68">
        <v>5</v>
      </c>
      <c r="D80" s="68" t="str">
        <f t="shared" si="0"/>
        <v>Object-oriented programming::5::Explore a program written using OOP</v>
      </c>
      <c r="E80" s="68" t="s">
        <v>2003</v>
      </c>
      <c r="F80" s="68" t="s">
        <v>1944</v>
      </c>
      <c r="G80" s="68" t="s">
        <v>28</v>
      </c>
      <c r="H80" s="68" t="s">
        <v>1087</v>
      </c>
    </row>
    <row r="81" spans="1:8" ht="13" x14ac:dyDescent="0.15">
      <c r="A81" s="68" t="s">
        <v>1920</v>
      </c>
      <c r="B81" s="68" t="s">
        <v>127</v>
      </c>
      <c r="C81" s="68">
        <v>5</v>
      </c>
      <c r="D81" s="68" t="str">
        <f t="shared" si="0"/>
        <v>Object-oriented programming::5::Explain the key concepts of OOP</v>
      </c>
      <c r="E81" s="68" t="s">
        <v>2004</v>
      </c>
      <c r="F81" s="68" t="s">
        <v>1944</v>
      </c>
      <c r="G81" s="68" t="s">
        <v>28</v>
      </c>
      <c r="H81" s="68" t="s">
        <v>1087</v>
      </c>
    </row>
    <row r="82" spans="1:8" ht="13" x14ac:dyDescent="0.15">
      <c r="A82" s="68" t="s">
        <v>1920</v>
      </c>
      <c r="B82" s="68" t="s">
        <v>2005</v>
      </c>
      <c r="C82" s="68">
        <v>1</v>
      </c>
      <c r="D82" s="68" t="str">
        <f t="shared" si="0"/>
        <v>Online safety::1::Discuss the main safety concerns of being online</v>
      </c>
      <c r="E82" s="68" t="s">
        <v>2006</v>
      </c>
      <c r="F82" s="68">
        <v>4.3</v>
      </c>
      <c r="G82" s="68" t="s">
        <v>35</v>
      </c>
      <c r="H82" s="68" t="s">
        <v>62</v>
      </c>
    </row>
    <row r="83" spans="1:8" ht="13" x14ac:dyDescent="0.15">
      <c r="A83" s="68" t="s">
        <v>1920</v>
      </c>
      <c r="B83" s="68" t="s">
        <v>2005</v>
      </c>
      <c r="C83" s="68">
        <v>1</v>
      </c>
      <c r="D83" s="68" t="str">
        <f t="shared" si="0"/>
        <v>Online safety::1::Reflect on online activity from a safety perspective</v>
      </c>
      <c r="E83" s="68" t="s">
        <v>2007</v>
      </c>
      <c r="F83" s="68">
        <v>4.3</v>
      </c>
      <c r="G83" s="68" t="s">
        <v>35</v>
      </c>
      <c r="H83" s="68" t="s">
        <v>62</v>
      </c>
    </row>
    <row r="84" spans="1:8" ht="13" x14ac:dyDescent="0.15">
      <c r="A84" s="68" t="s">
        <v>1920</v>
      </c>
      <c r="B84" s="68" t="s">
        <v>2005</v>
      </c>
      <c r="C84" s="68">
        <v>2</v>
      </c>
      <c r="D84" s="68" t="str">
        <f t="shared" si="0"/>
        <v>Online safety::2::Define online reputation and discuss what it is made up of</v>
      </c>
      <c r="E84" s="68" t="s">
        <v>2008</v>
      </c>
      <c r="F84" s="68">
        <v>4.3</v>
      </c>
      <c r="G84" s="68" t="s">
        <v>35</v>
      </c>
      <c r="H84" s="68" t="s">
        <v>62</v>
      </c>
    </row>
    <row r="85" spans="1:8" ht="13" x14ac:dyDescent="0.15">
      <c r="A85" s="68" t="s">
        <v>1920</v>
      </c>
      <c r="B85" s="68" t="s">
        <v>2005</v>
      </c>
      <c r="C85" s="68">
        <v>2</v>
      </c>
      <c r="D85" s="68" t="str">
        <f t="shared" si="0"/>
        <v>Online safety::2::Discuss techniques on how to build a positive online reputation</v>
      </c>
      <c r="E85" s="68" t="s">
        <v>2009</v>
      </c>
      <c r="F85" s="68">
        <v>4.3</v>
      </c>
      <c r="G85" s="68" t="s">
        <v>35</v>
      </c>
      <c r="H85" s="68" t="s">
        <v>62</v>
      </c>
    </row>
    <row r="86" spans="1:8" ht="13" x14ac:dyDescent="0.15">
      <c r="A86" s="68" t="s">
        <v>1920</v>
      </c>
      <c r="B86" s="68" t="s">
        <v>2005</v>
      </c>
      <c r="C86" s="68">
        <v>2</v>
      </c>
      <c r="D86" s="68" t="str">
        <f t="shared" si="0"/>
        <v>Online safety::2::Discuss the ways in which one’s online reputation might be under threat and how to defend it</v>
      </c>
      <c r="E86" s="68" t="s">
        <v>2010</v>
      </c>
      <c r="F86" s="68">
        <v>4.3</v>
      </c>
      <c r="G86" s="68" t="s">
        <v>35</v>
      </c>
      <c r="H86" s="68" t="s">
        <v>62</v>
      </c>
    </row>
    <row r="87" spans="1:8" ht="13" x14ac:dyDescent="0.15">
      <c r="A87" s="68" t="s">
        <v>1920</v>
      </c>
      <c r="B87" s="68" t="s">
        <v>2005</v>
      </c>
      <c r="C87" s="68">
        <v>3</v>
      </c>
      <c r="D87" s="68" t="str">
        <f t="shared" si="0"/>
        <v>Online safety::3::Define the terms ‘big data’ and ‘data analytics’</v>
      </c>
      <c r="E87" s="68" t="s">
        <v>2011</v>
      </c>
      <c r="F87" s="68">
        <v>4.3</v>
      </c>
      <c r="G87" s="68" t="s">
        <v>13</v>
      </c>
      <c r="H87" s="68" t="s">
        <v>62</v>
      </c>
    </row>
    <row r="88" spans="1:8" ht="13" x14ac:dyDescent="0.15">
      <c r="A88" s="68" t="s">
        <v>1920</v>
      </c>
      <c r="B88" s="68" t="s">
        <v>2005</v>
      </c>
      <c r="C88" s="68">
        <v>3</v>
      </c>
      <c r="D88" s="68" t="str">
        <f t="shared" si="0"/>
        <v>Online safety::3::Discuss the ethics of big data use</v>
      </c>
      <c r="E88" s="68" t="s">
        <v>2012</v>
      </c>
      <c r="F88" s="68">
        <v>4.3</v>
      </c>
      <c r="G88" s="68" t="s">
        <v>1837</v>
      </c>
      <c r="H88" s="68" t="s">
        <v>62</v>
      </c>
    </row>
    <row r="89" spans="1:8" ht="13" x14ac:dyDescent="0.15">
      <c r="A89" s="68" t="s">
        <v>1920</v>
      </c>
      <c r="B89" s="68" t="s">
        <v>2005</v>
      </c>
      <c r="C89" s="68">
        <v>3</v>
      </c>
      <c r="D89" s="68" t="str">
        <f t="shared" si="0"/>
        <v>Online safety::3::Investigate the stakeholders who use big data and why</v>
      </c>
      <c r="E89" s="68" t="s">
        <v>2013</v>
      </c>
      <c r="F89" s="68">
        <v>4.3</v>
      </c>
      <c r="G89" s="68" t="s">
        <v>1837</v>
      </c>
      <c r="H89" s="68" t="s">
        <v>62</v>
      </c>
    </row>
    <row r="90" spans="1:8" ht="13" x14ac:dyDescent="0.15">
      <c r="A90" s="68" t="s">
        <v>1920</v>
      </c>
      <c r="B90" s="68" t="s">
        <v>2005</v>
      </c>
      <c r="C90" s="68">
        <v>3</v>
      </c>
      <c r="D90" s="68" t="str">
        <f t="shared" si="0"/>
        <v>Online safety::3::Explain how data is collected on and how it is used</v>
      </c>
      <c r="E90" s="68" t="s">
        <v>2014</v>
      </c>
      <c r="F90" s="68">
        <v>4.3</v>
      </c>
      <c r="G90" s="68" t="s">
        <v>1815</v>
      </c>
      <c r="H90" s="68" t="s">
        <v>62</v>
      </c>
    </row>
    <row r="91" spans="1:8" ht="13" x14ac:dyDescent="0.15">
      <c r="A91" s="68" t="s">
        <v>1920</v>
      </c>
      <c r="B91" s="68" t="s">
        <v>2005</v>
      </c>
      <c r="C91" s="68">
        <v>4</v>
      </c>
      <c r="D91" s="68" t="str">
        <f t="shared" si="0"/>
        <v>Online safety::4::Investigate the legal rights to privacy within the UK</v>
      </c>
      <c r="E91" s="68" t="s">
        <v>2015</v>
      </c>
      <c r="F91" s="68">
        <v>4.3</v>
      </c>
      <c r="G91" s="68" t="s">
        <v>22</v>
      </c>
      <c r="H91" s="68" t="s">
        <v>62</v>
      </c>
    </row>
    <row r="92" spans="1:8" ht="13" x14ac:dyDescent="0.15">
      <c r="A92" s="68" t="s">
        <v>1920</v>
      </c>
      <c r="B92" s="68" t="s">
        <v>2005</v>
      </c>
      <c r="C92" s="68">
        <v>4</v>
      </c>
      <c r="D92" s="68" t="str">
        <f t="shared" si="0"/>
        <v>Online safety::4::Discuss which rights are believed to be upheld</v>
      </c>
      <c r="E92" s="68" t="s">
        <v>2016</v>
      </c>
      <c r="F92" s="68">
        <v>4.3</v>
      </c>
      <c r="G92" s="68" t="s">
        <v>22</v>
      </c>
      <c r="H92" s="68" t="s">
        <v>62</v>
      </c>
    </row>
    <row r="93" spans="1:8" ht="13" x14ac:dyDescent="0.15">
      <c r="A93" s="68" t="s">
        <v>1920</v>
      </c>
      <c r="B93" s="68" t="s">
        <v>2005</v>
      </c>
      <c r="C93" s="68">
        <v>4</v>
      </c>
      <c r="D93" s="68" t="str">
        <f t="shared" si="0"/>
        <v>Online safety::4::Debate whether the right to privacy is important, why this might be the case, and if the right to privacy is in tension with any other rights</v>
      </c>
      <c r="E93" s="68" t="s">
        <v>2017</v>
      </c>
      <c r="F93" s="68">
        <v>4.3</v>
      </c>
      <c r="G93" s="68" t="s">
        <v>22</v>
      </c>
      <c r="H93" s="68" t="s">
        <v>62</v>
      </c>
    </row>
    <row r="94" spans="1:8" ht="13" x14ac:dyDescent="0.15">
      <c r="A94" s="68" t="s">
        <v>1920</v>
      </c>
      <c r="B94" s="68" t="s">
        <v>2005</v>
      </c>
      <c r="C94" s="68">
        <v>5</v>
      </c>
      <c r="D94" s="68" t="str">
        <f t="shared" si="0"/>
        <v>Online safety::5::Evaluate what data created online is valuable, and to whom</v>
      </c>
      <c r="E94" s="68" t="s">
        <v>2018</v>
      </c>
      <c r="F94" s="68">
        <v>4.3</v>
      </c>
      <c r="G94" s="68" t="s">
        <v>1837</v>
      </c>
      <c r="H94" s="68" t="s">
        <v>62</v>
      </c>
    </row>
    <row r="95" spans="1:8" ht="13" x14ac:dyDescent="0.15">
      <c r="A95" s="68" t="s">
        <v>1920</v>
      </c>
      <c r="B95" s="68" t="s">
        <v>2005</v>
      </c>
      <c r="C95" s="68">
        <v>5</v>
      </c>
      <c r="D95" s="68" t="str">
        <f t="shared" si="0"/>
        <v>Online safety::5::Discuss ways in which data might be stolen</v>
      </c>
      <c r="E95" s="68" t="s">
        <v>2019</v>
      </c>
      <c r="F95" s="68">
        <v>4.3</v>
      </c>
      <c r="G95" s="68" t="s">
        <v>1815</v>
      </c>
      <c r="H95" s="68" t="s">
        <v>62</v>
      </c>
    </row>
    <row r="96" spans="1:8" ht="13" x14ac:dyDescent="0.15">
      <c r="A96" s="68" t="s">
        <v>1920</v>
      </c>
      <c r="B96" s="68" t="s">
        <v>2005</v>
      </c>
      <c r="C96" s="68">
        <v>5</v>
      </c>
      <c r="D96" s="68" t="str">
        <f t="shared" si="0"/>
        <v>Online safety::5::Define terms ‘phishing’ and ‘malware’</v>
      </c>
      <c r="E96" s="68" t="s">
        <v>2020</v>
      </c>
      <c r="F96" s="68">
        <v>4.3</v>
      </c>
      <c r="G96" s="68" t="s">
        <v>35</v>
      </c>
      <c r="H96" s="68" t="s">
        <v>62</v>
      </c>
    </row>
    <row r="97" spans="1:8" ht="13" x14ac:dyDescent="0.15">
      <c r="A97" s="68" t="s">
        <v>1920</v>
      </c>
      <c r="B97" s="68" t="s">
        <v>2005</v>
      </c>
      <c r="C97" s="68">
        <v>5</v>
      </c>
      <c r="D97" s="68" t="str">
        <f t="shared" si="0"/>
        <v>Online safety::5::Identify ways to protect one’s data online</v>
      </c>
      <c r="E97" s="68" t="s">
        <v>2021</v>
      </c>
      <c r="F97" s="68">
        <v>4.3</v>
      </c>
      <c r="G97" s="68" t="s">
        <v>35</v>
      </c>
      <c r="H97" s="68" t="s">
        <v>62</v>
      </c>
    </row>
    <row r="98" spans="1:8" ht="13" x14ac:dyDescent="0.15">
      <c r="A98" s="68" t="s">
        <v>1920</v>
      </c>
      <c r="B98" s="68" t="s">
        <v>2005</v>
      </c>
      <c r="C98" s="68">
        <v>6</v>
      </c>
      <c r="D98" s="68" t="str">
        <f t="shared" si="0"/>
        <v>Online safety::6::Discuss examples of disinformation spread online</v>
      </c>
      <c r="E98" s="68" t="s">
        <v>2022</v>
      </c>
      <c r="F98" s="68">
        <v>4.3</v>
      </c>
      <c r="G98" s="68" t="s">
        <v>22</v>
      </c>
      <c r="H98" s="68" t="s">
        <v>62</v>
      </c>
    </row>
    <row r="99" spans="1:8" ht="13" x14ac:dyDescent="0.15">
      <c r="A99" s="68" t="s">
        <v>1920</v>
      </c>
      <c r="B99" s="68" t="s">
        <v>2005</v>
      </c>
      <c r="C99" s="68">
        <v>6</v>
      </c>
      <c r="D99" s="68" t="str">
        <f t="shared" si="0"/>
        <v>Online safety::6::Define the term ‘fake news’ and discuss the quantity of fake news available online</v>
      </c>
      <c r="E99" s="68" t="s">
        <v>2023</v>
      </c>
      <c r="F99" s="68">
        <v>4.3</v>
      </c>
      <c r="G99" s="68" t="s">
        <v>22</v>
      </c>
      <c r="H99" s="68" t="s">
        <v>62</v>
      </c>
    </row>
    <row r="100" spans="1:8" ht="13" x14ac:dyDescent="0.15">
      <c r="A100" s="68" t="s">
        <v>1920</v>
      </c>
      <c r="B100" s="68" t="s">
        <v>2005</v>
      </c>
      <c r="C100" s="68">
        <v>6</v>
      </c>
      <c r="D100" s="68" t="str">
        <f t="shared" si="0"/>
        <v>Online safety::6::Identify why fake news exists and who creates it</v>
      </c>
      <c r="E100" s="68" t="s">
        <v>2024</v>
      </c>
      <c r="F100" s="68">
        <v>4.3</v>
      </c>
      <c r="G100" s="68" t="s">
        <v>22</v>
      </c>
      <c r="H100" s="68" t="s">
        <v>62</v>
      </c>
    </row>
    <row r="101" spans="1:8" ht="13" x14ac:dyDescent="0.15">
      <c r="A101" s="68" t="s">
        <v>1920</v>
      </c>
      <c r="B101" s="68" t="s">
        <v>2005</v>
      </c>
      <c r="C101" s="68">
        <v>6</v>
      </c>
      <c r="D101" s="68" t="str">
        <f t="shared" si="0"/>
        <v>Online safety::6::Discuss ways of identifying fake news and other forms of disinformation</v>
      </c>
      <c r="E101" s="68" t="s">
        <v>2025</v>
      </c>
      <c r="F101" s="68">
        <v>4.3</v>
      </c>
      <c r="G101" s="68" t="s">
        <v>22</v>
      </c>
      <c r="H101" s="68" t="s">
        <v>62</v>
      </c>
    </row>
    <row r="102" spans="1:8" ht="13" x14ac:dyDescent="0.15">
      <c r="A102" s="68" t="s">
        <v>1920</v>
      </c>
      <c r="B102" s="68" t="s">
        <v>2005</v>
      </c>
      <c r="C102" s="68">
        <v>7</v>
      </c>
      <c r="D102" s="68" t="str">
        <f t="shared" si="0"/>
        <v>Online safety::7::Explain why some content online can be potentially harmful</v>
      </c>
      <c r="E102" s="68" t="s">
        <v>2026</v>
      </c>
      <c r="F102" s="68">
        <v>4.3</v>
      </c>
      <c r="G102" s="68" t="s">
        <v>22</v>
      </c>
      <c r="H102" s="68" t="s">
        <v>62</v>
      </c>
    </row>
    <row r="103" spans="1:8" ht="13" x14ac:dyDescent="0.15">
      <c r="A103" s="68" t="s">
        <v>1920</v>
      </c>
      <c r="B103" s="68" t="s">
        <v>2005</v>
      </c>
      <c r="C103" s="68">
        <v>7</v>
      </c>
      <c r="D103" s="68" t="str">
        <f t="shared" si="0"/>
        <v>Online safety::7::Describe the UK laws governing online content</v>
      </c>
      <c r="E103" s="68" t="s">
        <v>2027</v>
      </c>
      <c r="F103" s="68">
        <v>4.3</v>
      </c>
      <c r="G103" s="68" t="s">
        <v>22</v>
      </c>
      <c r="H103" s="68" t="s">
        <v>62</v>
      </c>
    </row>
    <row r="104" spans="1:8" ht="13" x14ac:dyDescent="0.15">
      <c r="A104" s="68" t="s">
        <v>1920</v>
      </c>
      <c r="B104" s="68" t="s">
        <v>2005</v>
      </c>
      <c r="C104" s="68">
        <v>7</v>
      </c>
      <c r="D104" s="68" t="str">
        <f t="shared" si="0"/>
        <v>Online safety::7::Discuss why policing online spaces can be difficult</v>
      </c>
      <c r="E104" s="68" t="s">
        <v>2028</v>
      </c>
      <c r="F104" s="68">
        <v>4.3</v>
      </c>
      <c r="G104" s="68" t="s">
        <v>1608</v>
      </c>
      <c r="H104" s="68" t="s">
        <v>62</v>
      </c>
    </row>
    <row r="105" spans="1:8" ht="13" x14ac:dyDescent="0.15">
      <c r="A105" s="68" t="s">
        <v>1920</v>
      </c>
      <c r="B105" s="68" t="s">
        <v>2005</v>
      </c>
      <c r="C105" s="68">
        <v>7</v>
      </c>
      <c r="D105" s="68" t="str">
        <f t="shared" si="0"/>
        <v>Online safety::7::Demonstrate how to report illegal online content</v>
      </c>
      <c r="E105" s="68" t="s">
        <v>2029</v>
      </c>
      <c r="F105" s="68">
        <v>4.3</v>
      </c>
      <c r="G105" s="68" t="s">
        <v>1608</v>
      </c>
      <c r="H105" s="68" t="s">
        <v>62</v>
      </c>
    </row>
    <row r="106" spans="1:8" ht="13" x14ac:dyDescent="0.15">
      <c r="A106" s="68" t="s">
        <v>1920</v>
      </c>
      <c r="B106" s="68" t="s">
        <v>2005</v>
      </c>
      <c r="C106" s="68">
        <v>8</v>
      </c>
      <c r="D106" s="68" t="str">
        <f t="shared" si="0"/>
        <v>Online safety::8::Discuss how we decide what content should be illegal</v>
      </c>
      <c r="E106" s="68" t="s">
        <v>2030</v>
      </c>
      <c r="F106" s="68">
        <v>4.3</v>
      </c>
      <c r="G106" s="68" t="s">
        <v>1608</v>
      </c>
      <c r="H106" s="68" t="s">
        <v>62</v>
      </c>
    </row>
    <row r="107" spans="1:8" ht="13" x14ac:dyDescent="0.15">
      <c r="A107" s="68" t="s">
        <v>1920</v>
      </c>
      <c r="B107" s="68" t="s">
        <v>2005</v>
      </c>
      <c r="C107" s="68">
        <v>8</v>
      </c>
      <c r="D107" s="68" t="str">
        <f t="shared" si="0"/>
        <v>Online safety::8::Debate the right to access information in the context of safety concerns online already discussed in this unit</v>
      </c>
      <c r="E107" s="68" t="s">
        <v>2031</v>
      </c>
      <c r="F107" s="68">
        <v>4.3</v>
      </c>
      <c r="G107" s="68" t="s">
        <v>1608</v>
      </c>
      <c r="H107" s="68" t="s">
        <v>62</v>
      </c>
    </row>
    <row r="108" spans="1:8" ht="13" x14ac:dyDescent="0.15">
      <c r="A108" s="68" t="s">
        <v>1920</v>
      </c>
      <c r="B108" s="68" t="s">
        <v>2005</v>
      </c>
      <c r="C108" s="68">
        <v>8</v>
      </c>
      <c r="D108" s="68" t="str">
        <f t="shared" si="0"/>
        <v>Online safety::8::Compare UK laws with those in other countries</v>
      </c>
      <c r="E108" s="68" t="s">
        <v>2032</v>
      </c>
      <c r="F108" s="68">
        <v>4.3</v>
      </c>
      <c r="G108" s="68" t="s">
        <v>22</v>
      </c>
      <c r="H108" s="68" t="s">
        <v>62</v>
      </c>
    </row>
    <row r="109" spans="1:8" ht="13" x14ac:dyDescent="0.15">
      <c r="A109" s="68" t="s">
        <v>1920</v>
      </c>
      <c r="B109" s="68" t="s">
        <v>2005</v>
      </c>
      <c r="C109" s="68">
        <v>8</v>
      </c>
      <c r="D109" s="68" t="str">
        <f t="shared" si="0"/>
        <v>Online safety::8::Discover different technologies used to access and share information online</v>
      </c>
      <c r="E109" s="68" t="s">
        <v>2033</v>
      </c>
      <c r="F109" s="68">
        <v>4.3</v>
      </c>
      <c r="G109" s="68" t="s">
        <v>1164</v>
      </c>
      <c r="H109" s="68" t="s">
        <v>62</v>
      </c>
    </row>
    <row r="110" spans="1:8" ht="13" x14ac:dyDescent="0.15">
      <c r="A110" s="68" t="s">
        <v>1920</v>
      </c>
      <c r="B110" s="68" t="s">
        <v>2005</v>
      </c>
      <c r="C110" s="68">
        <v>9</v>
      </c>
      <c r="D110" s="68" t="str">
        <f t="shared" si="0"/>
        <v>Online safety::9::Reflect on how big data and other tools help to target information to specific users</v>
      </c>
      <c r="E110" s="68" t="s">
        <v>2034</v>
      </c>
      <c r="F110" s="68">
        <v>4.3</v>
      </c>
      <c r="G110" s="68" t="s">
        <v>1837</v>
      </c>
      <c r="H110" s="68" t="s">
        <v>62</v>
      </c>
    </row>
    <row r="111" spans="1:8" ht="13" x14ac:dyDescent="0.15">
      <c r="A111" s="68" t="s">
        <v>1920</v>
      </c>
      <c r="B111" s="68" t="s">
        <v>2005</v>
      </c>
      <c r="C111" s="68">
        <v>9</v>
      </c>
      <c r="D111" s="68" t="str">
        <f t="shared" si="0"/>
        <v>Online safety::9::Discuss the impact this might have on different people’s online experiences and the potential disadvantages of living in an online bubble</v>
      </c>
      <c r="E111" s="68" t="s">
        <v>2035</v>
      </c>
      <c r="F111" s="68">
        <v>4.3</v>
      </c>
      <c r="G111" s="68" t="s">
        <v>1815</v>
      </c>
      <c r="H111" s="68" t="s">
        <v>62</v>
      </c>
    </row>
    <row r="112" spans="1:8" ht="13" x14ac:dyDescent="0.15">
      <c r="A112" s="68" t="s">
        <v>1920</v>
      </c>
      <c r="B112" s="68" t="s">
        <v>2005</v>
      </c>
      <c r="C112" s="68">
        <v>10</v>
      </c>
      <c r="D112" s="68" t="str">
        <f t="shared" si="0"/>
        <v>Online safety::10::Contemplate the potential harms of being online</v>
      </c>
      <c r="E112" s="68" t="s">
        <v>2036</v>
      </c>
      <c r="F112" s="68">
        <v>4.3</v>
      </c>
      <c r="G112" s="68" t="s">
        <v>1351</v>
      </c>
      <c r="H112" s="68" t="s">
        <v>62</v>
      </c>
    </row>
    <row r="113" spans="1:8" ht="13" x14ac:dyDescent="0.15">
      <c r="A113" s="68" t="s">
        <v>1920</v>
      </c>
      <c r="B113" s="68" t="s">
        <v>2005</v>
      </c>
      <c r="C113" s="68">
        <v>10</v>
      </c>
      <c r="D113" s="68" t="str">
        <f t="shared" si="0"/>
        <v>Online safety::10::Determine practical actions that can be made to protect oneself online</v>
      </c>
      <c r="E113" s="68" t="s">
        <v>2037</v>
      </c>
      <c r="F113" s="68">
        <v>4.3</v>
      </c>
      <c r="G113" s="68" t="s">
        <v>1351</v>
      </c>
      <c r="H113" s="68" t="s">
        <v>62</v>
      </c>
    </row>
    <row r="114" spans="1:8" ht="13" x14ac:dyDescent="0.15">
      <c r="A114" s="68" t="s">
        <v>1920</v>
      </c>
      <c r="B114" s="68" t="s">
        <v>2005</v>
      </c>
      <c r="C114" s="68">
        <v>10</v>
      </c>
      <c r="D114" s="68" t="str">
        <f t="shared" si="0"/>
        <v>Online safety::10::Summarise key aspects of online safety</v>
      </c>
      <c r="E114" s="68" t="s">
        <v>2038</v>
      </c>
      <c r="F114" s="68">
        <v>4.3</v>
      </c>
      <c r="G114" s="68" t="s">
        <v>2039</v>
      </c>
      <c r="H114" s="68" t="s">
        <v>62</v>
      </c>
    </row>
    <row r="115" spans="1:8" ht="13" x14ac:dyDescent="0.15">
      <c r="A115" s="68" t="s">
        <v>1920</v>
      </c>
      <c r="B115" s="68" t="s">
        <v>2040</v>
      </c>
      <c r="C115" s="68">
        <v>1</v>
      </c>
      <c r="D115" s="68" t="str">
        <f t="shared" si="0"/>
        <v>Spreadsheets::1::Create a spreadsheet model for a given scenario</v>
      </c>
      <c r="E115" s="68" t="s">
        <v>2041</v>
      </c>
      <c r="F115" s="68" t="s">
        <v>1944</v>
      </c>
      <c r="G115" s="68" t="s">
        <v>1208</v>
      </c>
      <c r="H115" s="68" t="s">
        <v>1087</v>
      </c>
    </row>
    <row r="116" spans="1:8" ht="13" x14ac:dyDescent="0.15">
      <c r="A116" s="68" t="s">
        <v>1920</v>
      </c>
      <c r="B116" s="68" t="s">
        <v>2040</v>
      </c>
      <c r="C116" s="68">
        <v>1</v>
      </c>
      <c r="D116" s="68" t="str">
        <f t="shared" si="0"/>
        <v>Spreadsheets::1::Demonstrate how to use formulae to perform calculations</v>
      </c>
      <c r="E116" s="68" t="s">
        <v>2042</v>
      </c>
      <c r="F116" s="68" t="s">
        <v>1944</v>
      </c>
      <c r="G116" s="68" t="s">
        <v>1564</v>
      </c>
      <c r="H116" s="68" t="s">
        <v>1087</v>
      </c>
    </row>
    <row r="117" spans="1:8" ht="13" x14ac:dyDescent="0.15">
      <c r="A117" s="68" t="s">
        <v>1920</v>
      </c>
      <c r="B117" s="68" t="s">
        <v>2040</v>
      </c>
      <c r="C117" s="68">
        <v>1</v>
      </c>
      <c r="D117" s="68" t="str">
        <f t="shared" si="0"/>
        <v>Spreadsheets::1::Apply cell formatting</v>
      </c>
      <c r="E117" s="68" t="s">
        <v>2043</v>
      </c>
      <c r="F117" s="68" t="s">
        <v>1944</v>
      </c>
      <c r="G117" s="68" t="s">
        <v>1208</v>
      </c>
      <c r="H117" s="68" t="s">
        <v>1087</v>
      </c>
    </row>
    <row r="118" spans="1:8" ht="13" x14ac:dyDescent="0.15">
      <c r="A118" s="68" t="s">
        <v>1920</v>
      </c>
      <c r="B118" s="68" t="s">
        <v>2040</v>
      </c>
      <c r="C118" s="68">
        <v>2</v>
      </c>
      <c r="D118" s="68" t="str">
        <f t="shared" si="0"/>
        <v>Spreadsheets::2::Implement formatting to make the spreadsheet readable and to highlight different specific information</v>
      </c>
      <c r="E118" s="68" t="s">
        <v>2044</v>
      </c>
      <c r="F118" s="68" t="s">
        <v>1944</v>
      </c>
      <c r="G118" s="68" t="s">
        <v>1208</v>
      </c>
      <c r="H118" s="68" t="s">
        <v>1087</v>
      </c>
    </row>
    <row r="119" spans="1:8" ht="13" x14ac:dyDescent="0.15">
      <c r="A119" s="68" t="s">
        <v>1920</v>
      </c>
      <c r="B119" s="68" t="s">
        <v>2040</v>
      </c>
      <c r="C119" s="68">
        <v>2</v>
      </c>
      <c r="D119" s="68" t="str">
        <f t="shared" si="0"/>
        <v>Spreadsheets::2::Use data validation when entering data in order to reduce user error</v>
      </c>
      <c r="E119" s="68" t="s">
        <v>2045</v>
      </c>
      <c r="F119" s="68" t="s">
        <v>1944</v>
      </c>
      <c r="G119" s="68" t="s">
        <v>1208</v>
      </c>
      <c r="H119" s="68" t="s">
        <v>1087</v>
      </c>
    </row>
    <row r="120" spans="1:8" ht="13" x14ac:dyDescent="0.15">
      <c r="A120" s="68" t="s">
        <v>1920</v>
      </c>
      <c r="B120" s="68" t="s">
        <v>2040</v>
      </c>
      <c r="C120" s="68">
        <v>3</v>
      </c>
      <c r="D120" s="68" t="str">
        <f t="shared" si="0"/>
        <v>Spreadsheets::3::Implement conditional formatting techniques</v>
      </c>
      <c r="E120" s="68" t="s">
        <v>2046</v>
      </c>
      <c r="F120" s="68" t="s">
        <v>1944</v>
      </c>
      <c r="G120" s="68" t="s">
        <v>1564</v>
      </c>
      <c r="H120" s="68" t="s">
        <v>1087</v>
      </c>
    </row>
    <row r="121" spans="1:8" ht="13" x14ac:dyDescent="0.15">
      <c r="A121" s="68" t="s">
        <v>1920</v>
      </c>
      <c r="B121" s="68" t="s">
        <v>2040</v>
      </c>
      <c r="C121" s="68">
        <v>3</v>
      </c>
      <c r="D121" s="68" t="str">
        <f t="shared" si="0"/>
        <v>Spreadsheets::3::Format cells correctly, e.g. cells representing money should be currency, etc.</v>
      </c>
      <c r="E121" s="68" t="s">
        <v>2047</v>
      </c>
      <c r="F121" s="68" t="s">
        <v>1944</v>
      </c>
      <c r="G121" s="68" t="s">
        <v>1208</v>
      </c>
      <c r="H121" s="68" t="s">
        <v>1087</v>
      </c>
    </row>
    <row r="122" spans="1:8" ht="13" x14ac:dyDescent="0.15">
      <c r="A122" s="68" t="s">
        <v>1920</v>
      </c>
      <c r="B122" s="68" t="s">
        <v>2040</v>
      </c>
      <c r="C122" s="68">
        <v>4</v>
      </c>
      <c r="D122" s="68" t="str">
        <f t="shared" si="0"/>
        <v>Spreadsheets::4::Select the most suitable chart to visualise the selected data</v>
      </c>
      <c r="E122" s="68" t="s">
        <v>2048</v>
      </c>
      <c r="F122" s="68" t="s">
        <v>1944</v>
      </c>
      <c r="G122" s="68" t="s">
        <v>1208</v>
      </c>
      <c r="H122" s="68" t="s">
        <v>1087</v>
      </c>
    </row>
    <row r="123" spans="1:8" ht="13" x14ac:dyDescent="0.15">
      <c r="A123" s="68" t="s">
        <v>1920</v>
      </c>
      <c r="B123" s="68" t="s">
        <v>2040</v>
      </c>
      <c r="C123" s="68">
        <v>4</v>
      </c>
      <c r="D123" s="68" t="str">
        <f t="shared" si="0"/>
        <v>Spreadsheets::4::Recognise the importance of clear titles and labels</v>
      </c>
      <c r="E123" s="68" t="s">
        <v>2049</v>
      </c>
      <c r="F123" s="68" t="s">
        <v>1944</v>
      </c>
      <c r="G123" s="68" t="s">
        <v>1208</v>
      </c>
      <c r="H123" s="68" t="s">
        <v>1087</v>
      </c>
    </row>
    <row r="124" spans="1:8" ht="13" x14ac:dyDescent="0.15">
      <c r="A124" s="68" t="s">
        <v>1920</v>
      </c>
      <c r="B124" s="68" t="s">
        <v>2040</v>
      </c>
      <c r="C124" s="68">
        <v>4</v>
      </c>
      <c r="D124" s="68" t="str">
        <f t="shared" si="0"/>
        <v>Spreadsheets::4::Implement and test a macro to carry out a repetitive task</v>
      </c>
      <c r="E124" s="68" t="s">
        <v>2050</v>
      </c>
      <c r="F124" s="68" t="s">
        <v>1944</v>
      </c>
      <c r="G124" s="68" t="s">
        <v>1564</v>
      </c>
      <c r="H124" s="68" t="s">
        <v>1087</v>
      </c>
    </row>
    <row r="125" spans="1:8" ht="13" x14ac:dyDescent="0.15">
      <c r="A125" s="68" t="s">
        <v>1920</v>
      </c>
      <c r="B125" s="68" t="s">
        <v>2040</v>
      </c>
      <c r="C125" s="68">
        <v>5</v>
      </c>
      <c r="D125" s="68" t="str">
        <f t="shared" si="0"/>
        <v>Spreadsheets::5::Implement a LOOKUP function to retrieve data</v>
      </c>
      <c r="E125" s="68" t="s">
        <v>2051</v>
      </c>
      <c r="F125" s="68" t="s">
        <v>1944</v>
      </c>
      <c r="G125" s="68" t="s">
        <v>1564</v>
      </c>
      <c r="H125" s="68" t="s">
        <v>1087</v>
      </c>
    </row>
    <row r="126" spans="1:8" ht="13" x14ac:dyDescent="0.15">
      <c r="A126" s="68" t="s">
        <v>1920</v>
      </c>
      <c r="B126" s="68" t="s">
        <v>2040</v>
      </c>
      <c r="C126" s="68">
        <v>5</v>
      </c>
      <c r="D126" s="68" t="str">
        <f t="shared" si="0"/>
        <v>Spreadsheets::5::Implement an IF function to give the user feedback</v>
      </c>
      <c r="E126" s="68" t="s">
        <v>2052</v>
      </c>
      <c r="F126" s="68" t="s">
        <v>1944</v>
      </c>
      <c r="G126" s="68" t="s">
        <v>1564</v>
      </c>
      <c r="H126" s="68" t="s">
        <v>1087</v>
      </c>
    </row>
    <row r="127" spans="1:8" ht="13" x14ac:dyDescent="0.15">
      <c r="A127" s="68" t="s">
        <v>1920</v>
      </c>
      <c r="B127" s="68" t="s">
        <v>2040</v>
      </c>
      <c r="C127" s="68">
        <v>6</v>
      </c>
      <c r="D127" s="68" t="str">
        <f t="shared" si="0"/>
        <v>Spreadsheets::6::Demonstrate that skills developed in the lessons can be applied to a different scenario</v>
      </c>
      <c r="E127" s="68" t="s">
        <v>2053</v>
      </c>
      <c r="F127" s="68" t="s">
        <v>1944</v>
      </c>
      <c r="G127" s="68" t="s">
        <v>16</v>
      </c>
      <c r="H127" s="68" t="s">
        <v>1087</v>
      </c>
    </row>
    <row r="128" spans="1:8" ht="13" x14ac:dyDescent="0.15">
      <c r="A128" s="68" t="s">
        <v>1920</v>
      </c>
      <c r="B128" s="68" t="s">
        <v>2040</v>
      </c>
      <c r="C128" s="68">
        <v>6</v>
      </c>
      <c r="D128" s="68" t="str">
        <f t="shared" si="0"/>
        <v>Spreadsheets::6::Solve problems using transferable skills</v>
      </c>
      <c r="E128" s="68" t="s">
        <v>2054</v>
      </c>
      <c r="F128" s="68" t="s">
        <v>1944</v>
      </c>
      <c r="G128" s="68" t="s">
        <v>16</v>
      </c>
      <c r="H128" s="68" t="s">
        <v>1087</v>
      </c>
    </row>
    <row r="129" spans="1:8" ht="13" x14ac:dyDescent="0.15">
      <c r="A129" s="68" t="s">
        <v>1920</v>
      </c>
      <c r="B129" s="68" t="s">
        <v>2040</v>
      </c>
      <c r="C129" s="68">
        <v>6</v>
      </c>
      <c r="D129" s="68" t="str">
        <f t="shared" si="0"/>
        <v>Spreadsheets::6::Think widely about the uses for and purposes of spreadsheets</v>
      </c>
      <c r="E129" s="68" t="s">
        <v>2055</v>
      </c>
      <c r="F129" s="68" t="s">
        <v>1944</v>
      </c>
      <c r="G129" s="68" t="s">
        <v>1299</v>
      </c>
      <c r="H129" s="68" t="s">
        <v>1087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H325"/>
  <sheetViews>
    <sheetView workbookViewId="0"/>
  </sheetViews>
  <sheetFormatPr baseColWidth="10" defaultColWidth="12.6640625" defaultRowHeight="15.75" customHeight="1" x14ac:dyDescent="0.15"/>
  <cols>
    <col min="5" max="5" width="158.83203125" customWidth="1"/>
  </cols>
  <sheetData>
    <row r="1" spans="1:8" ht="15.75" customHeight="1" x14ac:dyDescent="0.15">
      <c r="A1" s="68" t="s">
        <v>1061</v>
      </c>
      <c r="B1" s="68" t="s">
        <v>1062</v>
      </c>
      <c r="C1" s="68" t="s">
        <v>1063</v>
      </c>
      <c r="D1" s="68" t="s">
        <v>1064</v>
      </c>
      <c r="E1" s="68"/>
      <c r="F1" s="68" t="s">
        <v>1065</v>
      </c>
      <c r="G1" s="68" t="s">
        <v>1065</v>
      </c>
      <c r="H1" s="68" t="s">
        <v>1065</v>
      </c>
    </row>
    <row r="2" spans="1:8" ht="15.75" customHeight="1" x14ac:dyDescent="0.15">
      <c r="A2" s="68" t="s">
        <v>2056</v>
      </c>
      <c r="B2" s="68" t="s">
        <v>2057</v>
      </c>
      <c r="C2" s="68">
        <v>1</v>
      </c>
      <c r="D2" s="68" t="s">
        <v>2058</v>
      </c>
      <c r="E2" s="68" t="str">
        <f t="shared" ref="E2:E65" si="0">B2&amp;"::"&amp;C2&amp;"::"&amp;D2</f>
        <v>Algorithms part 1::1::Define the terms decomposition, abstraction and algorithmic thinking</v>
      </c>
      <c r="F2" s="68" t="s">
        <v>1944</v>
      </c>
      <c r="G2" s="68" t="s">
        <v>25</v>
      </c>
      <c r="H2" s="68" t="s">
        <v>1087</v>
      </c>
    </row>
    <row r="3" spans="1:8" ht="15.75" customHeight="1" x14ac:dyDescent="0.15">
      <c r="A3" s="68" t="s">
        <v>2056</v>
      </c>
      <c r="B3" s="68" t="s">
        <v>2057</v>
      </c>
      <c r="C3" s="68">
        <v>1</v>
      </c>
      <c r="D3" s="68" t="s">
        <v>2059</v>
      </c>
      <c r="E3" s="68" t="str">
        <f t="shared" si="0"/>
        <v>Algorithms part 1::1::Recognise scenarios where each of these computational thinking techniques are applied</v>
      </c>
      <c r="F3" s="68" t="s">
        <v>1944</v>
      </c>
      <c r="G3" s="68" t="s">
        <v>25</v>
      </c>
      <c r="H3" s="68" t="s">
        <v>1087</v>
      </c>
    </row>
    <row r="4" spans="1:8" ht="15.75" customHeight="1" x14ac:dyDescent="0.15">
      <c r="A4" s="68" t="s">
        <v>2056</v>
      </c>
      <c r="B4" s="68" t="s">
        <v>2057</v>
      </c>
      <c r="C4" s="68">
        <v>1</v>
      </c>
      <c r="D4" s="68" t="s">
        <v>2060</v>
      </c>
      <c r="E4" s="68" t="str">
        <f t="shared" si="0"/>
        <v>Algorithms part 1::1::Apply decomposition, abstraction and algorithmic thinking to help solve a problem</v>
      </c>
      <c r="F4" s="68" t="s">
        <v>1944</v>
      </c>
      <c r="G4" s="68" t="s">
        <v>25</v>
      </c>
      <c r="H4" s="68" t="s">
        <v>1087</v>
      </c>
    </row>
    <row r="5" spans="1:8" ht="15.75" customHeight="1" x14ac:dyDescent="0.15">
      <c r="A5" s="68" t="s">
        <v>2056</v>
      </c>
      <c r="B5" s="68" t="s">
        <v>2057</v>
      </c>
      <c r="C5" s="68">
        <v>2</v>
      </c>
      <c r="D5" s="68" t="s">
        <v>2061</v>
      </c>
      <c r="E5" s="68" t="str">
        <f t="shared" si="0"/>
        <v>Algorithms part 1::2::Describe the difference between algorithms and computer programs</v>
      </c>
      <c r="F5" s="68" t="s">
        <v>1944</v>
      </c>
      <c r="G5" s="68" t="s">
        <v>1225</v>
      </c>
      <c r="H5" s="68" t="s">
        <v>1087</v>
      </c>
    </row>
    <row r="6" spans="1:8" ht="15.75" customHeight="1" x14ac:dyDescent="0.15">
      <c r="A6" s="68" t="s">
        <v>2056</v>
      </c>
      <c r="B6" s="68" t="s">
        <v>2057</v>
      </c>
      <c r="C6" s="68">
        <v>2</v>
      </c>
      <c r="D6" s="68" t="s">
        <v>2062</v>
      </c>
      <c r="E6" s="68" t="str">
        <f t="shared" si="0"/>
        <v>Algorithms part 1::2::Identify algorithms that are defined as written descriptions, flowcharts and code</v>
      </c>
      <c r="F6" s="68" t="s">
        <v>1944</v>
      </c>
      <c r="G6" s="68" t="s">
        <v>25</v>
      </c>
      <c r="H6" s="68" t="s">
        <v>1087</v>
      </c>
    </row>
    <row r="7" spans="1:8" ht="15.75" customHeight="1" x14ac:dyDescent="0.15">
      <c r="A7" s="68" t="s">
        <v>2056</v>
      </c>
      <c r="B7" s="68" t="s">
        <v>2057</v>
      </c>
      <c r="C7" s="68">
        <v>2</v>
      </c>
      <c r="D7" s="68" t="s">
        <v>2063</v>
      </c>
      <c r="E7" s="68" t="str">
        <f t="shared" si="0"/>
        <v>Algorithms part 1::2::Analyse and create flowcharts using the flowchart symbols</v>
      </c>
      <c r="F7" s="68" t="s">
        <v>1944</v>
      </c>
      <c r="G7" s="68" t="s">
        <v>25</v>
      </c>
      <c r="H7" s="68" t="s">
        <v>1087</v>
      </c>
    </row>
    <row r="8" spans="1:8" ht="15.75" customHeight="1" x14ac:dyDescent="0.15">
      <c r="A8" s="68" t="s">
        <v>2056</v>
      </c>
      <c r="B8" s="68" t="s">
        <v>2057</v>
      </c>
      <c r="C8" s="68">
        <v>3</v>
      </c>
      <c r="D8" s="68" t="s">
        <v>2064</v>
      </c>
      <c r="E8" s="68" t="str">
        <f t="shared" si="0"/>
        <v>Algorithms part 1::3::Use a trace table to walk through code that contains a while loop, a for loop and a list of items</v>
      </c>
      <c r="F8" s="68" t="s">
        <v>1944</v>
      </c>
      <c r="G8" s="68" t="s">
        <v>25</v>
      </c>
      <c r="H8" s="68" t="s">
        <v>1087</v>
      </c>
    </row>
    <row r="9" spans="1:8" ht="15.75" customHeight="1" x14ac:dyDescent="0.15">
      <c r="A9" s="68" t="s">
        <v>2056</v>
      </c>
      <c r="B9" s="68" t="s">
        <v>2057</v>
      </c>
      <c r="C9" s="68">
        <v>3</v>
      </c>
      <c r="D9" s="68" t="s">
        <v>2065</v>
      </c>
      <c r="E9" s="68" t="str">
        <f t="shared" si="0"/>
        <v>Algorithms part 1::3::Use a trace table to detect and correct errors in a program</v>
      </c>
      <c r="F9" s="68" t="s">
        <v>1944</v>
      </c>
      <c r="G9" s="68" t="s">
        <v>1225</v>
      </c>
      <c r="H9" s="68" t="s">
        <v>1087</v>
      </c>
    </row>
    <row r="10" spans="1:8" ht="15.75" customHeight="1" x14ac:dyDescent="0.15">
      <c r="A10" s="68" t="s">
        <v>2056</v>
      </c>
      <c r="B10" s="68" t="s">
        <v>2066</v>
      </c>
      <c r="C10" s="68">
        <v>4</v>
      </c>
      <c r="D10" s="68" t="s">
        <v>2067</v>
      </c>
      <c r="E10" s="68" t="str">
        <f t="shared" si="0"/>
        <v>Algorithms part 2::4::Identify why computers often need to search data</v>
      </c>
      <c r="F10" s="68" t="s">
        <v>1944</v>
      </c>
      <c r="G10" s="68" t="s">
        <v>25</v>
      </c>
      <c r="H10" s="68" t="s">
        <v>1087</v>
      </c>
    </row>
    <row r="11" spans="1:8" ht="15.75" customHeight="1" x14ac:dyDescent="0.15">
      <c r="A11" s="68" t="s">
        <v>2056</v>
      </c>
      <c r="B11" s="68" t="s">
        <v>2066</v>
      </c>
      <c r="C11" s="68">
        <v>4</v>
      </c>
      <c r="D11" s="68" t="s">
        <v>2068</v>
      </c>
      <c r="E11" s="68" t="str">
        <f t="shared" si="0"/>
        <v>Algorithms part 2::4::Describe how linear search is used for finding the position of an item in a list of items</v>
      </c>
      <c r="F11" s="68" t="s">
        <v>1944</v>
      </c>
      <c r="G11" s="68" t="s">
        <v>25</v>
      </c>
      <c r="H11" s="68" t="s">
        <v>1087</v>
      </c>
    </row>
    <row r="12" spans="1:8" ht="15.75" customHeight="1" x14ac:dyDescent="0.15">
      <c r="A12" s="68" t="s">
        <v>2056</v>
      </c>
      <c r="B12" s="68" t="s">
        <v>2066</v>
      </c>
      <c r="C12" s="68">
        <v>4</v>
      </c>
      <c r="D12" s="68" t="s">
        <v>2069</v>
      </c>
      <c r="E12" s="68" t="str">
        <f t="shared" si="0"/>
        <v>Algorithms part 2::4::Perform a linear search to find the position of an item in a list</v>
      </c>
      <c r="F12" s="68" t="s">
        <v>1944</v>
      </c>
      <c r="G12" s="68" t="s">
        <v>1225</v>
      </c>
      <c r="H12" s="68" t="s">
        <v>1087</v>
      </c>
    </row>
    <row r="13" spans="1:8" ht="15.75" customHeight="1" x14ac:dyDescent="0.15">
      <c r="A13" s="68" t="s">
        <v>2056</v>
      </c>
      <c r="B13" s="68" t="s">
        <v>2066</v>
      </c>
      <c r="C13" s="68">
        <v>5</v>
      </c>
      <c r="D13" s="68" t="s">
        <v>2070</v>
      </c>
      <c r="E13" s="68" t="str">
        <f t="shared" si="0"/>
        <v>Algorithms part 2::5::Describe how binary search is used for finding the position of an item in a list of items</v>
      </c>
      <c r="F13" s="68" t="s">
        <v>1944</v>
      </c>
      <c r="G13" s="68" t="s">
        <v>25</v>
      </c>
      <c r="H13" s="68" t="s">
        <v>1087</v>
      </c>
    </row>
    <row r="14" spans="1:8" ht="15.75" customHeight="1" x14ac:dyDescent="0.15">
      <c r="A14" s="68" t="s">
        <v>2056</v>
      </c>
      <c r="B14" s="68" t="s">
        <v>2066</v>
      </c>
      <c r="C14" s="68">
        <v>5</v>
      </c>
      <c r="D14" s="68" t="s">
        <v>2071</v>
      </c>
      <c r="E14" s="68" t="str">
        <f t="shared" si="0"/>
        <v>Algorithms part 2::5::Perform a binary search to find the position of an item in a list</v>
      </c>
      <c r="F14" s="68" t="s">
        <v>1944</v>
      </c>
      <c r="G14" s="68" t="s">
        <v>1225</v>
      </c>
      <c r="H14" s="68" t="s">
        <v>1087</v>
      </c>
    </row>
    <row r="15" spans="1:8" ht="15.75" customHeight="1" x14ac:dyDescent="0.15">
      <c r="A15" s="68" t="s">
        <v>2056</v>
      </c>
      <c r="B15" s="68" t="s">
        <v>2066</v>
      </c>
      <c r="C15" s="68">
        <v>5</v>
      </c>
      <c r="D15" s="68" t="s">
        <v>2072</v>
      </c>
      <c r="E15" s="68" t="str">
        <f t="shared" si="0"/>
        <v>Algorithms part 2::5::Identify scenarios when a binary search can and cannot be carried out</v>
      </c>
      <c r="F15" s="68" t="s">
        <v>1944</v>
      </c>
      <c r="G15" s="68" t="s">
        <v>25</v>
      </c>
      <c r="H15" s="68" t="s">
        <v>1087</v>
      </c>
    </row>
    <row r="16" spans="1:8" ht="15.75" customHeight="1" x14ac:dyDescent="0.15">
      <c r="A16" s="68" t="s">
        <v>2056</v>
      </c>
      <c r="B16" s="68" t="s">
        <v>2066</v>
      </c>
      <c r="C16" s="68">
        <v>6</v>
      </c>
      <c r="D16" s="68" t="s">
        <v>2073</v>
      </c>
      <c r="E16" s="68" t="str">
        <f t="shared" si="0"/>
        <v>Algorithms part 2::6::Compare the features of linear and binary search and decide which is most suitable in a given context</v>
      </c>
      <c r="F16" s="68" t="s">
        <v>1944</v>
      </c>
      <c r="G16" s="68" t="s">
        <v>1139</v>
      </c>
      <c r="H16" s="68" t="s">
        <v>1087</v>
      </c>
    </row>
    <row r="17" spans="1:8" ht="15.75" customHeight="1" x14ac:dyDescent="0.15">
      <c r="A17" s="68" t="s">
        <v>2056</v>
      </c>
      <c r="B17" s="68" t="s">
        <v>2066</v>
      </c>
      <c r="C17" s="68">
        <v>6</v>
      </c>
      <c r="D17" s="68" t="s">
        <v>2074</v>
      </c>
      <c r="E17" s="68" t="str">
        <f t="shared" si="0"/>
        <v>Algorithms part 2::6::Interpret the code for linear search and binary search</v>
      </c>
      <c r="F17" s="68" t="s">
        <v>1944</v>
      </c>
      <c r="G17" s="68" t="s">
        <v>25</v>
      </c>
      <c r="H17" s="68" t="s">
        <v>1087</v>
      </c>
    </row>
    <row r="18" spans="1:8" ht="15.75" customHeight="1" x14ac:dyDescent="0.15">
      <c r="A18" s="68" t="s">
        <v>2056</v>
      </c>
      <c r="B18" s="68" t="s">
        <v>2066</v>
      </c>
      <c r="C18" s="68">
        <v>6</v>
      </c>
      <c r="D18" s="68" t="s">
        <v>2075</v>
      </c>
      <c r="E18" s="68" t="str">
        <f t="shared" si="0"/>
        <v>Algorithms part 2::6::Trace code for both searching algorithms with input data</v>
      </c>
      <c r="F18" s="68" t="s">
        <v>1944</v>
      </c>
      <c r="G18" s="68" t="s">
        <v>1225</v>
      </c>
      <c r="H18" s="68" t="s">
        <v>1087</v>
      </c>
    </row>
    <row r="19" spans="1:8" ht="15.75" customHeight="1" x14ac:dyDescent="0.15">
      <c r="A19" s="68" t="s">
        <v>2056</v>
      </c>
      <c r="B19" s="68" t="s">
        <v>2066</v>
      </c>
      <c r="C19" s="68">
        <v>7</v>
      </c>
      <c r="D19" s="68" t="s">
        <v>2076</v>
      </c>
      <c r="E19" s="68" t="str">
        <f t="shared" si="0"/>
        <v>Algorithms part 2::7::Identify why computers often need to sort data</v>
      </c>
      <c r="F19" s="68" t="s">
        <v>1944</v>
      </c>
      <c r="G19" s="68" t="s">
        <v>25</v>
      </c>
      <c r="H19" s="68" t="s">
        <v>1087</v>
      </c>
    </row>
    <row r="20" spans="1:8" ht="15.75" customHeight="1" x14ac:dyDescent="0.15">
      <c r="A20" s="68" t="s">
        <v>2056</v>
      </c>
      <c r="B20" s="68" t="s">
        <v>2066</v>
      </c>
      <c r="C20" s="68">
        <v>7</v>
      </c>
      <c r="D20" s="68" t="s">
        <v>2077</v>
      </c>
      <c r="E20" s="68" t="str">
        <f t="shared" si="0"/>
        <v>Algorithms part 2::7::Traverse a list of items, swapping the items that are out of order</v>
      </c>
      <c r="F20" s="68" t="s">
        <v>1944</v>
      </c>
      <c r="G20" s="68" t="s">
        <v>25</v>
      </c>
      <c r="H20" s="68" t="s">
        <v>1087</v>
      </c>
    </row>
    <row r="21" spans="1:8" ht="15.75" customHeight="1" x14ac:dyDescent="0.15">
      <c r="A21" s="68" t="s">
        <v>2056</v>
      </c>
      <c r="B21" s="68" t="s">
        <v>2066</v>
      </c>
      <c r="C21" s="68">
        <v>7</v>
      </c>
      <c r="D21" s="68" t="s">
        <v>2078</v>
      </c>
      <c r="E21" s="68" t="str">
        <f t="shared" si="0"/>
        <v>Algorithms part 2::7::Perform a bubble sort to order a list containing sample data</v>
      </c>
      <c r="F21" s="68" t="s">
        <v>1944</v>
      </c>
      <c r="G21" s="68" t="s">
        <v>1225</v>
      </c>
      <c r="H21" s="68" t="s">
        <v>1087</v>
      </c>
    </row>
    <row r="22" spans="1:8" ht="15.75" customHeight="1" x14ac:dyDescent="0.15">
      <c r="A22" s="68" t="s">
        <v>2056</v>
      </c>
      <c r="B22" s="68" t="s">
        <v>2066</v>
      </c>
      <c r="C22" s="68">
        <v>8</v>
      </c>
      <c r="D22" s="68" t="s">
        <v>2079</v>
      </c>
      <c r="E22" s="68" t="str">
        <f t="shared" si="0"/>
        <v>Algorithms part 2::8::Insert an item into an ordered list of items</v>
      </c>
      <c r="F22" s="68" t="s">
        <v>1944</v>
      </c>
      <c r="G22" s="68" t="s">
        <v>25</v>
      </c>
      <c r="H22" s="68" t="s">
        <v>1087</v>
      </c>
    </row>
    <row r="23" spans="1:8" ht="15.75" customHeight="1" x14ac:dyDescent="0.15">
      <c r="A23" s="68" t="s">
        <v>2056</v>
      </c>
      <c r="B23" s="68" t="s">
        <v>2066</v>
      </c>
      <c r="C23" s="68">
        <v>8</v>
      </c>
      <c r="D23" s="68" t="s">
        <v>2080</v>
      </c>
      <c r="E23" s="68" t="str">
        <f t="shared" si="0"/>
        <v>Algorithms part 2::8::Describe how insertion sort is used for ordering a list of items</v>
      </c>
      <c r="F23" s="68" t="s">
        <v>1944</v>
      </c>
      <c r="G23" s="68" t="s">
        <v>25</v>
      </c>
      <c r="H23" s="68" t="s">
        <v>1087</v>
      </c>
    </row>
    <row r="24" spans="1:8" ht="15.75" customHeight="1" x14ac:dyDescent="0.15">
      <c r="A24" s="68" t="s">
        <v>2056</v>
      </c>
      <c r="B24" s="68" t="s">
        <v>2066</v>
      </c>
      <c r="C24" s="68">
        <v>8</v>
      </c>
      <c r="D24" s="68" t="s">
        <v>2081</v>
      </c>
      <c r="E24" s="68" t="str">
        <f t="shared" si="0"/>
        <v>Algorithms part 2::8::Perform an insertion sort to order a list containing sample data</v>
      </c>
      <c r="F24" s="68" t="s">
        <v>1944</v>
      </c>
      <c r="G24" s="68" t="s">
        <v>1225</v>
      </c>
      <c r="H24" s="68" t="s">
        <v>1087</v>
      </c>
    </row>
    <row r="25" spans="1:8" ht="15.75" customHeight="1" x14ac:dyDescent="0.15">
      <c r="A25" s="68" t="s">
        <v>2056</v>
      </c>
      <c r="B25" s="68" t="s">
        <v>2066</v>
      </c>
      <c r="C25" s="68">
        <v>9</v>
      </c>
      <c r="D25" s="68" t="s">
        <v>2082</v>
      </c>
      <c r="E25" s="68" t="str">
        <f t="shared" si="0"/>
        <v>Algorithms part 2::9::Interpret the code for bubble sort and insertion sort</v>
      </c>
      <c r="F25" s="68" t="s">
        <v>1944</v>
      </c>
      <c r="G25" s="68" t="s">
        <v>1225</v>
      </c>
      <c r="H25" s="68" t="s">
        <v>1087</v>
      </c>
    </row>
    <row r="26" spans="1:8" ht="15.75" customHeight="1" x14ac:dyDescent="0.15">
      <c r="A26" s="68" t="s">
        <v>2056</v>
      </c>
      <c r="B26" s="68" t="s">
        <v>2066</v>
      </c>
      <c r="C26" s="68">
        <v>9</v>
      </c>
      <c r="D26" s="68" t="s">
        <v>2083</v>
      </c>
      <c r="E26" s="68" t="str">
        <f t="shared" si="0"/>
        <v>Algorithms part 2::9::Trace code for both sorting algorithms with input data</v>
      </c>
      <c r="F26" s="68" t="s">
        <v>1944</v>
      </c>
      <c r="G26" s="68" t="s">
        <v>1225</v>
      </c>
      <c r="H26" s="68" t="s">
        <v>1087</v>
      </c>
    </row>
    <row r="27" spans="1:8" ht="15.75" customHeight="1" x14ac:dyDescent="0.15">
      <c r="A27" s="68" t="s">
        <v>2056</v>
      </c>
      <c r="B27" s="68" t="s">
        <v>2066</v>
      </c>
      <c r="C27" s="68">
        <v>9</v>
      </c>
      <c r="D27" s="68" t="s">
        <v>2084</v>
      </c>
      <c r="E27" s="68" t="str">
        <f t="shared" si="0"/>
        <v>Algorithms part 2::9::Identify factors that could influence the efficiency of a bubble sort implementation</v>
      </c>
      <c r="F27" s="68" t="s">
        <v>1944</v>
      </c>
      <c r="G27" s="68" t="s">
        <v>25</v>
      </c>
      <c r="H27" s="68" t="s">
        <v>1087</v>
      </c>
    </row>
    <row r="28" spans="1:8" ht="15.75" customHeight="1" x14ac:dyDescent="0.15">
      <c r="A28" s="68" t="s">
        <v>2056</v>
      </c>
      <c r="B28" s="68" t="s">
        <v>2066</v>
      </c>
      <c r="C28" s="68">
        <v>10</v>
      </c>
      <c r="D28" s="68" t="s">
        <v>2085</v>
      </c>
      <c r="E28" s="68" t="str">
        <f t="shared" si="0"/>
        <v>Algorithms part 2::10::Merge two ordered lists of items into a new ordered list</v>
      </c>
      <c r="F28" s="68" t="s">
        <v>1944</v>
      </c>
      <c r="G28" s="68" t="s">
        <v>25</v>
      </c>
      <c r="H28" s="68" t="s">
        <v>1087</v>
      </c>
    </row>
    <row r="29" spans="1:8" ht="15.75" customHeight="1" x14ac:dyDescent="0.15">
      <c r="A29" s="68" t="s">
        <v>2056</v>
      </c>
      <c r="B29" s="68" t="s">
        <v>2066</v>
      </c>
      <c r="C29" s="68">
        <v>10</v>
      </c>
      <c r="D29" s="68" t="s">
        <v>2086</v>
      </c>
      <c r="E29" s="68" t="str">
        <f t="shared" si="0"/>
        <v>Algorithms part 2::10::Describe how merge sort is used for ordering a list of items</v>
      </c>
      <c r="F29" s="68" t="s">
        <v>1944</v>
      </c>
      <c r="G29" s="68" t="s">
        <v>25</v>
      </c>
      <c r="H29" s="68" t="s">
        <v>1087</v>
      </c>
    </row>
    <row r="30" spans="1:8" ht="15.75" customHeight="1" x14ac:dyDescent="0.15">
      <c r="A30" s="68" t="s">
        <v>2056</v>
      </c>
      <c r="B30" s="68" t="s">
        <v>2066</v>
      </c>
      <c r="C30" s="68">
        <v>10</v>
      </c>
      <c r="D30" s="68" t="s">
        <v>2087</v>
      </c>
      <c r="E30" s="68" t="str">
        <f t="shared" si="0"/>
        <v>Algorithms part 2::10::Perform a merge sort to order a list containing sample data</v>
      </c>
      <c r="F30" s="68" t="s">
        <v>1944</v>
      </c>
      <c r="G30" s="68" t="s">
        <v>25</v>
      </c>
      <c r="H30" s="68" t="s">
        <v>1087</v>
      </c>
    </row>
    <row r="31" spans="1:8" ht="15.75" customHeight="1" x14ac:dyDescent="0.15">
      <c r="A31" s="68" t="s">
        <v>2056</v>
      </c>
      <c r="B31" s="68" t="s">
        <v>2066</v>
      </c>
      <c r="C31" s="68">
        <v>11</v>
      </c>
      <c r="D31" s="68" t="s">
        <v>2088</v>
      </c>
      <c r="E31" s="68" t="str">
        <f t="shared" si="0"/>
        <v>Algorithms part 2::11::Interpret algorithms and suggest improvements</v>
      </c>
      <c r="F31" s="68" t="s">
        <v>1944</v>
      </c>
      <c r="G31" s="68" t="s">
        <v>1139</v>
      </c>
      <c r="H31" s="68" t="s">
        <v>1087</v>
      </c>
    </row>
    <row r="32" spans="1:8" ht="15.75" customHeight="1" x14ac:dyDescent="0.15">
      <c r="A32" s="68" t="s">
        <v>2056</v>
      </c>
      <c r="B32" s="68" t="s">
        <v>2066</v>
      </c>
      <c r="C32" s="68">
        <v>11</v>
      </c>
      <c r="D32" s="68" t="s">
        <v>2089</v>
      </c>
      <c r="E32" s="68" t="str">
        <f t="shared" si="0"/>
        <v>Algorithms part 2::11::Analyse and fix errors in a flowchart</v>
      </c>
      <c r="F32" s="68" t="s">
        <v>1944</v>
      </c>
      <c r="G32" s="68" t="s">
        <v>25</v>
      </c>
      <c r="H32" s="68" t="s">
        <v>1087</v>
      </c>
    </row>
    <row r="33" spans="1:8" ht="15.75" customHeight="1" x14ac:dyDescent="0.15">
      <c r="A33" s="68" t="s">
        <v>2056</v>
      </c>
      <c r="B33" s="68" t="s">
        <v>2066</v>
      </c>
      <c r="C33" s="68">
        <v>11</v>
      </c>
      <c r="D33" s="68" t="s">
        <v>2090</v>
      </c>
      <c r="E33" s="68" t="str">
        <f t="shared" si="0"/>
        <v>Algorithms part 2::11::Perform searching and sorting algorithms on samples of data</v>
      </c>
      <c r="F33" s="68" t="s">
        <v>1944</v>
      </c>
      <c r="G33" s="68" t="s">
        <v>1225</v>
      </c>
      <c r="H33" s="68" t="s">
        <v>1087</v>
      </c>
    </row>
    <row r="34" spans="1:8" ht="15.75" customHeight="1" x14ac:dyDescent="0.15">
      <c r="A34" s="68" t="s">
        <v>2056</v>
      </c>
      <c r="B34" s="68" t="s">
        <v>2066</v>
      </c>
      <c r="C34" s="68">
        <v>12</v>
      </c>
      <c r="D34" s="68" t="s">
        <v>2091</v>
      </c>
      <c r="E34" s="68" t="str">
        <f t="shared" si="0"/>
        <v>Algorithms part 2::12::Develop a linear search function in Python</v>
      </c>
      <c r="F34" s="68" t="s">
        <v>1944</v>
      </c>
      <c r="G34" s="68" t="s">
        <v>1225</v>
      </c>
      <c r="H34" s="68" t="s">
        <v>1087</v>
      </c>
    </row>
    <row r="35" spans="1:8" ht="15.75" customHeight="1" x14ac:dyDescent="0.15">
      <c r="A35" s="68" t="s">
        <v>2056</v>
      </c>
      <c r="B35" s="68" t="s">
        <v>2066</v>
      </c>
      <c r="C35" s="68">
        <v>12</v>
      </c>
      <c r="D35" s="68" t="s">
        <v>2092</v>
      </c>
      <c r="E35" s="68" t="str">
        <f t="shared" si="0"/>
        <v>Algorithms part 2::12::Complete the end of unit assessment</v>
      </c>
      <c r="F35" s="68" t="s">
        <v>1944</v>
      </c>
      <c r="G35" s="68" t="s">
        <v>1225</v>
      </c>
      <c r="H35" s="68" t="s">
        <v>1087</v>
      </c>
    </row>
    <row r="36" spans="1:8" ht="15.75" customHeight="1" x14ac:dyDescent="0.15">
      <c r="A36" s="68" t="s">
        <v>2056</v>
      </c>
      <c r="B36" s="68" t="s">
        <v>73</v>
      </c>
      <c r="C36" s="68">
        <v>1</v>
      </c>
      <c r="D36" s="68" t="s">
        <v>2093</v>
      </c>
      <c r="E36" s="68" t="str">
        <f t="shared" si="0"/>
        <v>Computer systems::1::Understand the difference between embedded and general purpose computer systems</v>
      </c>
      <c r="F36" s="68" t="s">
        <v>2094</v>
      </c>
      <c r="G36" s="68" t="s">
        <v>19</v>
      </c>
      <c r="H36" s="68" t="s">
        <v>1087</v>
      </c>
    </row>
    <row r="37" spans="1:8" ht="15.75" customHeight="1" x14ac:dyDescent="0.15">
      <c r="A37" s="68" t="s">
        <v>2056</v>
      </c>
      <c r="B37" s="68" t="s">
        <v>73</v>
      </c>
      <c r="C37" s="68">
        <v>1</v>
      </c>
      <c r="D37" s="68" t="s">
        <v>2095</v>
      </c>
      <c r="E37" s="68" t="str">
        <f t="shared" si="0"/>
        <v>Computer systems::1::Describe the role of system software as part of a computer system</v>
      </c>
      <c r="F37" s="68" t="s">
        <v>2094</v>
      </c>
      <c r="G37" s="68" t="s">
        <v>19</v>
      </c>
      <c r="H37" s="68" t="s">
        <v>1087</v>
      </c>
    </row>
    <row r="38" spans="1:8" ht="15.75" customHeight="1" x14ac:dyDescent="0.15">
      <c r="A38" s="68" t="s">
        <v>2056</v>
      </c>
      <c r="B38" s="68" t="s">
        <v>73</v>
      </c>
      <c r="C38" s="68">
        <v>1</v>
      </c>
      <c r="D38" s="68" t="s">
        <v>2096</v>
      </c>
      <c r="E38" s="68" t="str">
        <f t="shared" si="0"/>
        <v>Computer systems::1::Explore the role of the operating system and utility software</v>
      </c>
      <c r="F38" s="68" t="s">
        <v>2094</v>
      </c>
      <c r="G38" s="68" t="s">
        <v>19</v>
      </c>
      <c r="H38" s="68" t="s">
        <v>1087</v>
      </c>
    </row>
    <row r="39" spans="1:8" ht="15.75" customHeight="1" x14ac:dyDescent="0.15">
      <c r="A39" s="68" t="s">
        <v>2056</v>
      </c>
      <c r="B39" s="68" t="s">
        <v>73</v>
      </c>
      <c r="C39" s="68">
        <v>2</v>
      </c>
      <c r="D39" s="68" t="s">
        <v>2097</v>
      </c>
      <c r="E39" s="68" t="str">
        <f t="shared" si="0"/>
        <v>Computer systems::2::Describe the basic components of the CPU</v>
      </c>
      <c r="F39" s="68" t="s">
        <v>2094</v>
      </c>
      <c r="G39" s="68" t="s">
        <v>19</v>
      </c>
      <c r="H39" s="68" t="s">
        <v>1087</v>
      </c>
    </row>
    <row r="40" spans="1:8" ht="15.75" customHeight="1" x14ac:dyDescent="0.15">
      <c r="A40" s="68" t="s">
        <v>2056</v>
      </c>
      <c r="B40" s="68" t="s">
        <v>73</v>
      </c>
      <c r="C40" s="68">
        <v>2</v>
      </c>
      <c r="D40" s="68" t="s">
        <v>2098</v>
      </c>
      <c r="E40" s="68" t="str">
        <f t="shared" si="0"/>
        <v>Computer systems::2::Understand the roles and purpose of each component of the CPU in computation</v>
      </c>
      <c r="F40" s="68" t="s">
        <v>2094</v>
      </c>
      <c r="G40" s="68" t="s">
        <v>19</v>
      </c>
      <c r="H40" s="68" t="s">
        <v>1087</v>
      </c>
    </row>
    <row r="41" spans="1:8" ht="15.75" customHeight="1" x14ac:dyDescent="0.15">
      <c r="A41" s="68" t="s">
        <v>2056</v>
      </c>
      <c r="B41" s="68" t="s">
        <v>73</v>
      </c>
      <c r="C41" s="68">
        <v>3</v>
      </c>
      <c r="D41" s="68" t="s">
        <v>2099</v>
      </c>
      <c r="E41" s="68" t="str">
        <f t="shared" si="0"/>
        <v>Computer systems::3::Explain how the fetch-decode-execute cycle works by describing what happens at each stage</v>
      </c>
      <c r="F41" s="68" t="s">
        <v>2094</v>
      </c>
      <c r="G41" s="68" t="s">
        <v>19</v>
      </c>
      <c r="H41" s="68" t="s">
        <v>1087</v>
      </c>
    </row>
    <row r="42" spans="1:8" ht="15.75" customHeight="1" x14ac:dyDescent="0.15">
      <c r="A42" s="68" t="s">
        <v>2056</v>
      </c>
      <c r="B42" s="68" t="s">
        <v>73</v>
      </c>
      <c r="C42" s="68">
        <v>3</v>
      </c>
      <c r="D42" s="68" t="s">
        <v>2100</v>
      </c>
      <c r="E42" s="68" t="str">
        <f t="shared" si="0"/>
        <v>Computer systems::3::Describe the role of each part of the CPU as part of the fetch-decode-execute cycle</v>
      </c>
      <c r="F42" s="68" t="s">
        <v>2094</v>
      </c>
      <c r="G42" s="68" t="s">
        <v>19</v>
      </c>
      <c r="H42" s="68" t="s">
        <v>1087</v>
      </c>
    </row>
    <row r="43" spans="1:8" ht="15.75" customHeight="1" x14ac:dyDescent="0.15">
      <c r="A43" s="68" t="s">
        <v>2056</v>
      </c>
      <c r="B43" s="68" t="s">
        <v>73</v>
      </c>
      <c r="C43" s="68">
        <v>4</v>
      </c>
      <c r="D43" s="68" t="s">
        <v>2101</v>
      </c>
      <c r="E43" s="68" t="str">
        <f t="shared" si="0"/>
        <v>Computer systems::4::Describe the characteristics of RAM and ROM</v>
      </c>
      <c r="F43" s="68" t="s">
        <v>2094</v>
      </c>
      <c r="G43" s="68" t="s">
        <v>19</v>
      </c>
      <c r="H43" s="68" t="s">
        <v>1087</v>
      </c>
    </row>
    <row r="44" spans="1:8" ht="15.75" customHeight="1" x14ac:dyDescent="0.15">
      <c r="A44" s="68" t="s">
        <v>2056</v>
      </c>
      <c r="B44" s="68" t="s">
        <v>73</v>
      </c>
      <c r="C44" s="68">
        <v>4</v>
      </c>
      <c r="D44" s="68" t="s">
        <v>2102</v>
      </c>
      <c r="E44" s="68" t="str">
        <f t="shared" si="0"/>
        <v>Computer systems::4::Explain the role of main memory as part of a computer system</v>
      </c>
      <c r="F44" s="68" t="s">
        <v>2094</v>
      </c>
      <c r="G44" s="68" t="s">
        <v>19</v>
      </c>
      <c r="H44" s="68" t="s">
        <v>1087</v>
      </c>
    </row>
    <row r="45" spans="1:8" ht="15.75" customHeight="1" x14ac:dyDescent="0.15">
      <c r="A45" s="68" t="s">
        <v>2056</v>
      </c>
      <c r="B45" s="68" t="s">
        <v>73</v>
      </c>
      <c r="C45" s="68">
        <v>4</v>
      </c>
      <c r="D45" s="68" t="s">
        <v>2103</v>
      </c>
      <c r="E45" s="68" t="str">
        <f t="shared" si="0"/>
        <v>Computer systems::4::Define cache memory</v>
      </c>
      <c r="F45" s="68" t="s">
        <v>2094</v>
      </c>
      <c r="G45" s="68" t="s">
        <v>19</v>
      </c>
      <c r="H45" s="68" t="s">
        <v>1087</v>
      </c>
    </row>
    <row r="46" spans="1:8" ht="15.75" customHeight="1" x14ac:dyDescent="0.15">
      <c r="A46" s="68" t="s">
        <v>2056</v>
      </c>
      <c r="B46" s="68" t="s">
        <v>73</v>
      </c>
      <c r="C46" s="68">
        <v>4</v>
      </c>
      <c r="D46" s="68" t="s">
        <v>2104</v>
      </c>
      <c r="E46" s="68" t="str">
        <f t="shared" si="0"/>
        <v>Computer systems::4::Describe the role of cache in a computer system</v>
      </c>
      <c r="F46" s="68" t="s">
        <v>2094</v>
      </c>
      <c r="G46" s="68" t="s">
        <v>19</v>
      </c>
      <c r="H46" s="68" t="s">
        <v>1087</v>
      </c>
    </row>
    <row r="47" spans="1:8" ht="15.75" customHeight="1" x14ac:dyDescent="0.15">
      <c r="A47" s="68" t="s">
        <v>2056</v>
      </c>
      <c r="B47" s="68" t="s">
        <v>73</v>
      </c>
      <c r="C47" s="68">
        <v>5</v>
      </c>
      <c r="D47" s="68" t="s">
        <v>2105</v>
      </c>
      <c r="E47" s="68" t="str">
        <f t="shared" si="0"/>
        <v>Computer systems::5::Explain why a computer system needs secondary storage</v>
      </c>
      <c r="F47" s="68" t="s">
        <v>2094</v>
      </c>
      <c r="G47" s="68" t="s">
        <v>19</v>
      </c>
      <c r="H47" s="68" t="s">
        <v>1087</v>
      </c>
    </row>
    <row r="48" spans="1:8" ht="15.75" customHeight="1" x14ac:dyDescent="0.15">
      <c r="A48" s="68" t="s">
        <v>2056</v>
      </c>
      <c r="B48" s="68" t="s">
        <v>73</v>
      </c>
      <c r="C48" s="68">
        <v>5</v>
      </c>
      <c r="D48" s="68" t="s">
        <v>2106</v>
      </c>
      <c r="E48" s="68" t="str">
        <f t="shared" si="0"/>
        <v>Computer systems::5::State the different types of secondary storage and describe their functional characteristics</v>
      </c>
      <c r="F48" s="68" t="s">
        <v>2094</v>
      </c>
      <c r="G48" s="68" t="s">
        <v>19</v>
      </c>
      <c r="H48" s="68" t="s">
        <v>1087</v>
      </c>
    </row>
    <row r="49" spans="1:8" ht="15.75" customHeight="1" x14ac:dyDescent="0.15">
      <c r="A49" s="68" t="s">
        <v>2056</v>
      </c>
      <c r="B49" s="68" t="s">
        <v>73</v>
      </c>
      <c r="C49" s="68">
        <v>5</v>
      </c>
      <c r="D49" s="68" t="s">
        <v>2107</v>
      </c>
      <c r="E49" s="68" t="str">
        <f t="shared" si="0"/>
        <v>Computer systems::5::State how solid-state memory works and describe its characteristics</v>
      </c>
      <c r="F49" s="68" t="s">
        <v>2094</v>
      </c>
      <c r="G49" s="68" t="s">
        <v>19</v>
      </c>
      <c r="H49" s="68" t="s">
        <v>1087</v>
      </c>
    </row>
    <row r="50" spans="1:8" ht="15.75" customHeight="1" x14ac:dyDescent="0.15">
      <c r="A50" s="68" t="s">
        <v>2056</v>
      </c>
      <c r="B50" s="68" t="s">
        <v>73</v>
      </c>
      <c r="C50" s="68">
        <v>6</v>
      </c>
      <c r="D50" s="68" t="s">
        <v>2108</v>
      </c>
      <c r="E50" s="68" t="str">
        <f t="shared" si="0"/>
        <v>Computer systems::6::Explain how optical and magnetic memory stores data in the form of binary</v>
      </c>
      <c r="F50" s="68" t="s">
        <v>2094</v>
      </c>
      <c r="G50" s="68" t="s">
        <v>19</v>
      </c>
      <c r="H50" s="68" t="s">
        <v>1087</v>
      </c>
    </row>
    <row r="51" spans="1:8" ht="13" x14ac:dyDescent="0.15">
      <c r="A51" s="68" t="s">
        <v>2056</v>
      </c>
      <c r="B51" s="68" t="s">
        <v>73</v>
      </c>
      <c r="C51" s="68">
        <v>6</v>
      </c>
      <c r="D51" s="68" t="s">
        <v>2109</v>
      </c>
      <c r="E51" s="68" t="str">
        <f t="shared" si="0"/>
        <v>Computer systems::6::Describe how data is read from and written to optical and magnetic memory</v>
      </c>
      <c r="F51" s="68" t="s">
        <v>2094</v>
      </c>
      <c r="G51" s="68" t="s">
        <v>19</v>
      </c>
      <c r="H51" s="68" t="s">
        <v>1087</v>
      </c>
    </row>
    <row r="52" spans="1:8" ht="13" x14ac:dyDescent="0.15">
      <c r="A52" s="68" t="s">
        <v>2056</v>
      </c>
      <c r="B52" s="68" t="s">
        <v>73</v>
      </c>
      <c r="C52" s="68">
        <v>6</v>
      </c>
      <c r="D52" s="68" t="s">
        <v>2110</v>
      </c>
      <c r="E52" s="68" t="str">
        <f t="shared" si="0"/>
        <v>Computer systems::6::Apply knowledge of storage devices to compare the three mediums of storage</v>
      </c>
      <c r="F52" s="68" t="s">
        <v>2094</v>
      </c>
      <c r="G52" s="68" t="s">
        <v>19</v>
      </c>
      <c r="H52" s="68" t="s">
        <v>1087</v>
      </c>
    </row>
    <row r="53" spans="1:8" ht="13" x14ac:dyDescent="0.15">
      <c r="A53" s="68" t="s">
        <v>2056</v>
      </c>
      <c r="B53" s="68" t="s">
        <v>73</v>
      </c>
      <c r="C53" s="68">
        <v>7</v>
      </c>
      <c r="D53" s="68" t="s">
        <v>2111</v>
      </c>
      <c r="E53" s="68" t="str">
        <f t="shared" si="0"/>
        <v>Computer systems::7::Apply the knowledge of storage devices to recommend an appropriate device</v>
      </c>
      <c r="F53" s="68" t="s">
        <v>2094</v>
      </c>
      <c r="G53" s="68" t="s">
        <v>19</v>
      </c>
      <c r="H53" s="68" t="s">
        <v>1087</v>
      </c>
    </row>
    <row r="54" spans="1:8" ht="13" x14ac:dyDescent="0.15">
      <c r="A54" s="68" t="s">
        <v>2056</v>
      </c>
      <c r="B54" s="68" t="s">
        <v>73</v>
      </c>
      <c r="C54" s="68">
        <v>7</v>
      </c>
      <c r="D54" s="68" t="s">
        <v>2112</v>
      </c>
      <c r="E54" s="68" t="str">
        <f t="shared" si="0"/>
        <v>Computer systems::7::Describe the limitations of secondary storage</v>
      </c>
      <c r="F54" s="68" t="s">
        <v>2094</v>
      </c>
      <c r="G54" s="68" t="s">
        <v>19</v>
      </c>
      <c r="H54" s="68" t="s">
        <v>1087</v>
      </c>
    </row>
    <row r="55" spans="1:8" ht="13" x14ac:dyDescent="0.15">
      <c r="A55" s="68" t="s">
        <v>2056</v>
      </c>
      <c r="B55" s="68" t="s">
        <v>73</v>
      </c>
      <c r="C55" s="68">
        <v>7</v>
      </c>
      <c r="D55" s="68" t="s">
        <v>2113</v>
      </c>
      <c r="E55" s="68" t="str">
        <f t="shared" si="0"/>
        <v>Computer systems::7::Explain the definition of ‘cloud storage’ and describe the characteristics of cloud storage</v>
      </c>
      <c r="F55" s="68" t="s">
        <v>2094</v>
      </c>
      <c r="G55" s="68" t="s">
        <v>1256</v>
      </c>
      <c r="H55" s="68" t="s">
        <v>1087</v>
      </c>
    </row>
    <row r="56" spans="1:8" ht="13" x14ac:dyDescent="0.15">
      <c r="A56" s="68" t="s">
        <v>2056</v>
      </c>
      <c r="B56" s="68" t="s">
        <v>73</v>
      </c>
      <c r="C56" s="68">
        <v>8</v>
      </c>
      <c r="D56" s="68" t="s">
        <v>2114</v>
      </c>
      <c r="E56" s="68" t="str">
        <f t="shared" si="0"/>
        <v>Computer systems::8::Explore the factors that impact a CPU’s performance</v>
      </c>
      <c r="F56" s="68" t="s">
        <v>2094</v>
      </c>
      <c r="G56" s="68" t="s">
        <v>19</v>
      </c>
      <c r="H56" s="68" t="s">
        <v>1087</v>
      </c>
    </row>
    <row r="57" spans="1:8" ht="13" x14ac:dyDescent="0.15">
      <c r="A57" s="68" t="s">
        <v>2056</v>
      </c>
      <c r="B57" s="68" t="s">
        <v>73</v>
      </c>
      <c r="C57" s="68">
        <v>8</v>
      </c>
      <c r="D57" s="68" t="s">
        <v>2115</v>
      </c>
      <c r="E57" s="68" t="str">
        <f t="shared" si="0"/>
        <v>Computer systems::8::Select components to create a computer system</v>
      </c>
      <c r="F57" s="68" t="s">
        <v>2094</v>
      </c>
      <c r="G57" s="68" t="s">
        <v>1881</v>
      </c>
      <c r="H57" s="68" t="s">
        <v>1087</v>
      </c>
    </row>
    <row r="58" spans="1:8" ht="13" x14ac:dyDescent="0.15">
      <c r="A58" s="68" t="s">
        <v>2056</v>
      </c>
      <c r="B58" s="68" t="s">
        <v>73</v>
      </c>
      <c r="C58" s="68">
        <v>8</v>
      </c>
      <c r="D58" s="68" t="s">
        <v>2116</v>
      </c>
      <c r="E58" s="68" t="str">
        <f t="shared" si="0"/>
        <v>Computer systems::8::Evaluate a computer’s suitability for a given task</v>
      </c>
      <c r="F58" s="68" t="s">
        <v>2094</v>
      </c>
      <c r="G58" s="68" t="s">
        <v>1881</v>
      </c>
      <c r="H58" s="68" t="s">
        <v>1087</v>
      </c>
    </row>
    <row r="59" spans="1:8" ht="13" x14ac:dyDescent="0.15">
      <c r="A59" s="68" t="s">
        <v>2056</v>
      </c>
      <c r="B59" s="68" t="s">
        <v>73</v>
      </c>
      <c r="C59" s="68">
        <v>9</v>
      </c>
      <c r="D59" s="68" t="s">
        <v>2117</v>
      </c>
      <c r="E59" s="68" t="str">
        <f t="shared" si="0"/>
        <v>Computer systems::9::Revise computer systems content covered so far</v>
      </c>
      <c r="F59" s="68" t="s">
        <v>2094</v>
      </c>
      <c r="G59" s="68" t="s">
        <v>19</v>
      </c>
      <c r="H59" s="68" t="s">
        <v>1087</v>
      </c>
    </row>
    <row r="60" spans="1:8" ht="13" x14ac:dyDescent="0.15">
      <c r="A60" s="68" t="s">
        <v>2056</v>
      </c>
      <c r="B60" s="68" t="s">
        <v>73</v>
      </c>
      <c r="C60" s="68">
        <v>9</v>
      </c>
      <c r="D60" s="68" t="s">
        <v>2118</v>
      </c>
      <c r="E60" s="68" t="str">
        <f t="shared" si="0"/>
        <v>Computer systems::9::Design and implement a software project</v>
      </c>
      <c r="F60" s="68" t="s">
        <v>2094</v>
      </c>
      <c r="G60" s="68" t="s">
        <v>1881</v>
      </c>
      <c r="H60" s="68" t="s">
        <v>1087</v>
      </c>
    </row>
    <row r="61" spans="1:8" ht="13" x14ac:dyDescent="0.15">
      <c r="A61" s="68" t="s">
        <v>2056</v>
      </c>
      <c r="B61" s="68" t="s">
        <v>73</v>
      </c>
      <c r="C61" s="68">
        <v>10</v>
      </c>
      <c r="D61" s="68" t="s">
        <v>2119</v>
      </c>
      <c r="E61" s="68" t="str">
        <f t="shared" si="0"/>
        <v>Computer systems::10::Discover the logic gates AND, NOT, and OR, including their symbols and truth tables</v>
      </c>
      <c r="F61" s="68" t="s">
        <v>2094</v>
      </c>
      <c r="G61" s="68" t="s">
        <v>2120</v>
      </c>
      <c r="H61" s="68" t="s">
        <v>1087</v>
      </c>
    </row>
    <row r="62" spans="1:8" ht="13" x14ac:dyDescent="0.15">
      <c r="A62" s="68" t="s">
        <v>2056</v>
      </c>
      <c r="B62" s="68" t="s">
        <v>73</v>
      </c>
      <c r="C62" s="68">
        <v>10</v>
      </c>
      <c r="D62" s="68" t="s">
        <v>2121</v>
      </c>
      <c r="E62" s="68" t="str">
        <f t="shared" si="0"/>
        <v>Computer systems::10::Learn how logic gates are used in carrying out computation</v>
      </c>
      <c r="F62" s="68" t="s">
        <v>2094</v>
      </c>
      <c r="G62" s="68" t="s">
        <v>2120</v>
      </c>
      <c r="H62" s="68" t="s">
        <v>1087</v>
      </c>
    </row>
    <row r="63" spans="1:8" ht="13" x14ac:dyDescent="0.15">
      <c r="A63" s="68" t="s">
        <v>2056</v>
      </c>
      <c r="B63" s="68" t="s">
        <v>73</v>
      </c>
      <c r="C63" s="68">
        <v>10</v>
      </c>
      <c r="D63" s="68" t="s">
        <v>2122</v>
      </c>
      <c r="E63" s="68" t="str">
        <f t="shared" si="0"/>
        <v>Computer systems::10::Design a logical circuit, combining logic gates to solve a problem</v>
      </c>
      <c r="F63" s="68" t="s">
        <v>2094</v>
      </c>
      <c r="G63" s="68" t="s">
        <v>2120</v>
      </c>
      <c r="H63" s="68" t="s">
        <v>1087</v>
      </c>
    </row>
    <row r="64" spans="1:8" ht="13" x14ac:dyDescent="0.15">
      <c r="A64" s="68" t="s">
        <v>2056</v>
      </c>
      <c r="B64" s="68" t="s">
        <v>73</v>
      </c>
      <c r="C64" s="68">
        <v>11</v>
      </c>
      <c r="D64" s="68" t="s">
        <v>2123</v>
      </c>
      <c r="E64" s="68" t="str">
        <f t="shared" si="0"/>
        <v>Computer systems::11::Construct truth tables for a three-input logic circuit</v>
      </c>
      <c r="F64" s="68" t="s">
        <v>2094</v>
      </c>
      <c r="G64" s="68" t="s">
        <v>2120</v>
      </c>
      <c r="H64" s="68" t="s">
        <v>1087</v>
      </c>
    </row>
    <row r="65" spans="1:8" ht="13" x14ac:dyDescent="0.15">
      <c r="A65" s="68" t="s">
        <v>2056</v>
      </c>
      <c r="B65" s="68" t="s">
        <v>73</v>
      </c>
      <c r="C65" s="68">
        <v>11</v>
      </c>
      <c r="D65" s="68" t="s">
        <v>2124</v>
      </c>
      <c r="E65" s="68" t="str">
        <f t="shared" si="0"/>
        <v>Computer systems::11::Write a Boolean expression to describe a logical circuit</v>
      </c>
      <c r="F65" s="68" t="s">
        <v>2094</v>
      </c>
      <c r="G65" s="68" t="s">
        <v>2120</v>
      </c>
      <c r="H65" s="68" t="s">
        <v>1087</v>
      </c>
    </row>
    <row r="66" spans="1:8" ht="13" x14ac:dyDescent="0.15">
      <c r="A66" s="68" t="s">
        <v>2056</v>
      </c>
      <c r="B66" s="68" t="s">
        <v>73</v>
      </c>
      <c r="C66" s="68">
        <v>11</v>
      </c>
      <c r="D66" s="68" t="s">
        <v>2125</v>
      </c>
      <c r="E66" s="68" t="str">
        <f t="shared" ref="E66:E129" si="1">B66&amp;"::"&amp;C66&amp;"::"&amp;D66</f>
        <v>Computer systems::11::Describe how combinations of logic gates can perform mathematical operations</v>
      </c>
      <c r="F66" s="68" t="s">
        <v>2094</v>
      </c>
      <c r="G66" s="68" t="s">
        <v>2120</v>
      </c>
      <c r="H66" s="68" t="s">
        <v>1087</v>
      </c>
    </row>
    <row r="67" spans="1:8" ht="13" x14ac:dyDescent="0.15">
      <c r="A67" s="68" t="s">
        <v>2056</v>
      </c>
      <c r="B67" s="68" t="s">
        <v>73</v>
      </c>
      <c r="C67" s="68">
        <v>12</v>
      </c>
      <c r="D67" s="68" t="s">
        <v>2126</v>
      </c>
      <c r="E67" s="68" t="str">
        <f t="shared" si="1"/>
        <v>Computer systems::12::Explain the basic commands in the LMC’s assembly code: INP, OUT, STA, LDA, ADD, SUB, and BRP</v>
      </c>
      <c r="F67" s="68" t="s">
        <v>2094</v>
      </c>
      <c r="G67" s="68" t="s">
        <v>1487</v>
      </c>
      <c r="H67" s="68" t="s">
        <v>1087</v>
      </c>
    </row>
    <row r="68" spans="1:8" ht="13" x14ac:dyDescent="0.15">
      <c r="A68" s="68" t="s">
        <v>2056</v>
      </c>
      <c r="B68" s="68" t="s">
        <v>73</v>
      </c>
      <c r="C68" s="68">
        <v>12</v>
      </c>
      <c r="D68" s="68" t="s">
        <v>2127</v>
      </c>
      <c r="E68" s="68" t="str">
        <f t="shared" si="1"/>
        <v>Computer systems::12::Determine that assembly language has a 1:1 relationship with machine code</v>
      </c>
      <c r="F68" s="68" t="s">
        <v>2094</v>
      </c>
      <c r="G68" s="68" t="s">
        <v>19</v>
      </c>
      <c r="H68" s="68" t="s">
        <v>1087</v>
      </c>
    </row>
    <row r="69" spans="1:8" ht="13" x14ac:dyDescent="0.15">
      <c r="A69" s="68" t="s">
        <v>2056</v>
      </c>
      <c r="B69" s="68" t="s">
        <v>73</v>
      </c>
      <c r="C69" s="68">
        <v>13</v>
      </c>
      <c r="D69" s="68" t="s">
        <v>2128</v>
      </c>
      <c r="E69" s="68" t="str">
        <f t="shared" si="1"/>
        <v>Computer systems::13::Design and write your own program in assembly language</v>
      </c>
      <c r="F69" s="68" t="s">
        <v>2094</v>
      </c>
      <c r="G69" s="68" t="s">
        <v>1487</v>
      </c>
      <c r="H69" s="68" t="s">
        <v>1087</v>
      </c>
    </row>
    <row r="70" spans="1:8" ht="13" x14ac:dyDescent="0.15">
      <c r="A70" s="68" t="s">
        <v>2056</v>
      </c>
      <c r="B70" s="68" t="s">
        <v>97</v>
      </c>
      <c r="C70" s="68">
        <v>1</v>
      </c>
      <c r="D70" s="68" t="s">
        <v>2129</v>
      </c>
      <c r="E70" s="68" t="str">
        <f t="shared" si="1"/>
        <v>Cyber security::1::Define the terms cybersecurity and network security, explain their importance, and distinguish between the two</v>
      </c>
      <c r="F70" s="68" t="s">
        <v>2130</v>
      </c>
      <c r="G70" s="68" t="s">
        <v>1161</v>
      </c>
      <c r="H70" s="68" t="s">
        <v>52</v>
      </c>
    </row>
    <row r="71" spans="1:8" ht="13" x14ac:dyDescent="0.15">
      <c r="A71" s="68" t="s">
        <v>2056</v>
      </c>
      <c r="B71" s="68" t="s">
        <v>97</v>
      </c>
      <c r="C71" s="68">
        <v>1</v>
      </c>
      <c r="D71" s="68" t="s">
        <v>2131</v>
      </c>
      <c r="E71" s="68" t="str">
        <f t="shared" si="1"/>
        <v>Cyber security::1::Describe the features of a network that make it vulnerable to attack</v>
      </c>
      <c r="F71" s="68" t="s">
        <v>2130</v>
      </c>
      <c r="G71" s="68" t="s">
        <v>1338</v>
      </c>
      <c r="H71" s="68" t="s">
        <v>52</v>
      </c>
    </row>
    <row r="72" spans="1:8" ht="13" x14ac:dyDescent="0.15">
      <c r="A72" s="68" t="s">
        <v>2056</v>
      </c>
      <c r="B72" s="68" t="s">
        <v>97</v>
      </c>
      <c r="C72" s="68">
        <v>1</v>
      </c>
      <c r="D72" s="68" t="s">
        <v>2132</v>
      </c>
      <c r="E72" s="68" t="str">
        <f t="shared" si="1"/>
        <v>Cyber security::1::Describe the impact of cybercrime on businesses and individuals</v>
      </c>
      <c r="F72" s="68" t="s">
        <v>2130</v>
      </c>
      <c r="G72" s="68" t="s">
        <v>1351</v>
      </c>
      <c r="H72" s="68" t="s">
        <v>52</v>
      </c>
    </row>
    <row r="73" spans="1:8" ht="13" x14ac:dyDescent="0.15">
      <c r="A73" s="68" t="s">
        <v>2056</v>
      </c>
      <c r="B73" s="68" t="s">
        <v>97</v>
      </c>
      <c r="C73" s="68">
        <v>1</v>
      </c>
      <c r="D73" s="68" t="s">
        <v>2133</v>
      </c>
      <c r="E73" s="68" t="str">
        <f t="shared" si="1"/>
        <v>Cyber security::1::Analyse an attack on a company and identify what motivated the hackers</v>
      </c>
      <c r="F73" s="68" t="s">
        <v>2130</v>
      </c>
      <c r="G73" s="68" t="s">
        <v>1161</v>
      </c>
      <c r="H73" s="68" t="s">
        <v>52</v>
      </c>
    </row>
    <row r="74" spans="1:8" ht="13" x14ac:dyDescent="0.15">
      <c r="A74" s="68" t="s">
        <v>2056</v>
      </c>
      <c r="B74" s="68" t="s">
        <v>97</v>
      </c>
      <c r="C74" s="68">
        <v>2</v>
      </c>
      <c r="D74" s="68" t="s">
        <v>2134</v>
      </c>
      <c r="E74" s="68" t="str">
        <f t="shared" si="1"/>
        <v>Cyber security::2::Demonstrate knowledge of social engineering in role play and case studies</v>
      </c>
      <c r="F74" s="68" t="s">
        <v>2130</v>
      </c>
      <c r="G74" s="68" t="s">
        <v>1161</v>
      </c>
      <c r="H74" s="68" t="s">
        <v>52</v>
      </c>
    </row>
    <row r="75" spans="1:8" ht="13" x14ac:dyDescent="0.15">
      <c r="A75" s="68" t="s">
        <v>2056</v>
      </c>
      <c r="B75" s="68" t="s">
        <v>97</v>
      </c>
      <c r="C75" s="68">
        <v>2</v>
      </c>
      <c r="D75" s="68" t="s">
        <v>2135</v>
      </c>
      <c r="E75" s="68" t="str">
        <f t="shared" si="1"/>
        <v>Cyber security::2::Identify and describe non-automated forms of cyberattack and how humans can be the weak points in an organisation</v>
      </c>
      <c r="F75" s="68" t="s">
        <v>2130</v>
      </c>
      <c r="G75" s="68" t="s">
        <v>1161</v>
      </c>
      <c r="H75" s="68" t="s">
        <v>52</v>
      </c>
    </row>
    <row r="76" spans="1:8" ht="13" x14ac:dyDescent="0.15">
      <c r="A76" s="68" t="s">
        <v>2056</v>
      </c>
      <c r="B76" s="68" t="s">
        <v>97</v>
      </c>
      <c r="C76" s="68">
        <v>3</v>
      </c>
      <c r="D76" s="68" t="s">
        <v>2136</v>
      </c>
      <c r="E76" s="68" t="str">
        <f t="shared" si="1"/>
        <v>Cyber security::3::Analyse a real cyberattack and identify the network or software weaknesses that enabled it to happen</v>
      </c>
      <c r="F76" s="68" t="s">
        <v>2130</v>
      </c>
      <c r="G76" s="68" t="s">
        <v>1161</v>
      </c>
      <c r="H76" s="68" t="s">
        <v>52</v>
      </c>
    </row>
    <row r="77" spans="1:8" ht="13" x14ac:dyDescent="0.15">
      <c r="A77" s="68" t="s">
        <v>2056</v>
      </c>
      <c r="B77" s="68" t="s">
        <v>97</v>
      </c>
      <c r="C77" s="68">
        <v>3</v>
      </c>
      <c r="D77" s="68" t="s">
        <v>2137</v>
      </c>
      <c r="E77" s="68" t="str">
        <f t="shared" si="1"/>
        <v>Cyber security::3::Describe automated forms of cyberattack</v>
      </c>
      <c r="F77" s="68" t="s">
        <v>2130</v>
      </c>
      <c r="G77" s="68" t="s">
        <v>1161</v>
      </c>
      <c r="H77" s="68" t="s">
        <v>52</v>
      </c>
    </row>
    <row r="78" spans="1:8" ht="13" x14ac:dyDescent="0.15">
      <c r="A78" s="68" t="s">
        <v>2056</v>
      </c>
      <c r="B78" s="68" t="s">
        <v>97</v>
      </c>
      <c r="C78" s="68">
        <v>4</v>
      </c>
      <c r="D78" s="68" t="s">
        <v>2138</v>
      </c>
      <c r="E78" s="68" t="str">
        <f t="shared" si="1"/>
        <v>Cyber security::4::Describe ways in which organisations use software to protect against cyberattacks</v>
      </c>
      <c r="F78" s="68" t="s">
        <v>2130</v>
      </c>
      <c r="G78" s="68" t="s">
        <v>1161</v>
      </c>
      <c r="H78" s="68" t="s">
        <v>52</v>
      </c>
    </row>
    <row r="79" spans="1:8" ht="13" x14ac:dyDescent="0.15">
      <c r="A79" s="68" t="s">
        <v>2056</v>
      </c>
      <c r="B79" s="68" t="s">
        <v>97</v>
      </c>
      <c r="C79" s="68">
        <v>4</v>
      </c>
      <c r="D79" s="68" t="s">
        <v>2139</v>
      </c>
      <c r="E79" s="68" t="str">
        <f t="shared" si="1"/>
        <v>Cyber security::4::Identify how software can be used to protect from cyberattacks</v>
      </c>
      <c r="F79" s="68" t="s">
        <v>2130</v>
      </c>
      <c r="G79" s="68" t="s">
        <v>2140</v>
      </c>
      <c r="H79" s="68" t="s">
        <v>52</v>
      </c>
    </row>
    <row r="80" spans="1:8" ht="13" x14ac:dyDescent="0.15">
      <c r="A80" s="68" t="s">
        <v>2056</v>
      </c>
      <c r="B80" s="68" t="s">
        <v>97</v>
      </c>
      <c r="C80" s="68">
        <v>5</v>
      </c>
      <c r="D80" s="68" t="s">
        <v>2141</v>
      </c>
      <c r="E80" s="68" t="str">
        <f t="shared" si="1"/>
        <v>Cyber security::5::Describe different ways to protect software systems and networks (2 of 2)</v>
      </c>
      <c r="F80" s="68" t="s">
        <v>2130</v>
      </c>
      <c r="G80" s="68" t="s">
        <v>1161</v>
      </c>
      <c r="H80" s="68" t="s">
        <v>52</v>
      </c>
    </row>
    <row r="81" spans="1:8" ht="13" x14ac:dyDescent="0.15">
      <c r="A81" s="68" t="s">
        <v>2056</v>
      </c>
      <c r="B81" s="68" t="s">
        <v>97</v>
      </c>
      <c r="C81" s="68">
        <v>5</v>
      </c>
      <c r="D81" s="68" t="s">
        <v>2142</v>
      </c>
      <c r="E81" s="68" t="str">
        <f t="shared" si="1"/>
        <v>Cyber security::5::Understand the need for, and importance of, network security</v>
      </c>
      <c r="F81" s="68" t="s">
        <v>2130</v>
      </c>
      <c r="G81" s="68" t="s">
        <v>1338</v>
      </c>
      <c r="H81" s="68" t="s">
        <v>52</v>
      </c>
    </row>
    <row r="82" spans="1:8" ht="13" x14ac:dyDescent="0.15">
      <c r="A82" s="68" t="s">
        <v>2056</v>
      </c>
      <c r="B82" s="68" t="s">
        <v>97</v>
      </c>
      <c r="C82" s="68">
        <v>5</v>
      </c>
      <c r="D82" s="68" t="s">
        <v>2143</v>
      </c>
      <c r="E82" s="68" t="str">
        <f t="shared" si="1"/>
        <v>Cyber security::5::Explain a number of methods of achieving network security</v>
      </c>
      <c r="F82" s="68" t="s">
        <v>2130</v>
      </c>
      <c r="G82" s="68" t="s">
        <v>1161</v>
      </c>
      <c r="H82" s="68" t="s">
        <v>52</v>
      </c>
    </row>
    <row r="83" spans="1:8" ht="13" x14ac:dyDescent="0.15">
      <c r="A83" s="68" t="s">
        <v>2056</v>
      </c>
      <c r="B83" s="68" t="s">
        <v>97</v>
      </c>
      <c r="C83" s="68">
        <v>6</v>
      </c>
      <c r="D83" s="68" t="s">
        <v>2144</v>
      </c>
      <c r="E83" s="68" t="str">
        <f t="shared" si="1"/>
        <v>Cyber security::6::Describe different methods of identifying cybersecurity vulnerabilities, such as: penetration testing, ethical hacking, network forensics, commercial analysis tools, review of network and user policies</v>
      </c>
      <c r="F83" s="68" t="s">
        <v>2130</v>
      </c>
      <c r="G83" s="68" t="s">
        <v>1338</v>
      </c>
      <c r="H83" s="68" t="s">
        <v>52</v>
      </c>
    </row>
    <row r="84" spans="1:8" ht="13" x14ac:dyDescent="0.15">
      <c r="A84" s="68" t="s">
        <v>2056</v>
      </c>
      <c r="B84" s="68" t="s">
        <v>97</v>
      </c>
      <c r="C84" s="68">
        <v>7</v>
      </c>
      <c r="D84" s="68" t="s">
        <v>2145</v>
      </c>
      <c r="E84" s="68" t="str">
        <f t="shared" si="1"/>
        <v>Cyber security::7::Evaluate the potential for cybersecurity careers</v>
      </c>
      <c r="F84" s="68" t="s">
        <v>2130</v>
      </c>
      <c r="G84" s="68" t="s">
        <v>1351</v>
      </c>
      <c r="H84" s="68" t="s">
        <v>52</v>
      </c>
    </row>
    <row r="85" spans="1:8" ht="13" x14ac:dyDescent="0.15">
      <c r="A85" s="68" t="s">
        <v>2056</v>
      </c>
      <c r="B85" s="68" t="s">
        <v>97</v>
      </c>
      <c r="C85" s="68">
        <v>7</v>
      </c>
      <c r="D85" s="68" t="s">
        <v>2146</v>
      </c>
      <c r="E85" s="68" t="str">
        <f t="shared" si="1"/>
        <v>Cyber security::7::Apply knowledge of cybersecurity to GCSE-style questions</v>
      </c>
      <c r="F85" s="68" t="s">
        <v>2130</v>
      </c>
      <c r="G85" s="68" t="s">
        <v>2147</v>
      </c>
      <c r="H85" s="68" t="s">
        <v>52</v>
      </c>
    </row>
    <row r="86" spans="1:8" ht="13" x14ac:dyDescent="0.15">
      <c r="A86" s="68" t="s">
        <v>2056</v>
      </c>
      <c r="B86" s="68" t="s">
        <v>119</v>
      </c>
      <c r="C86" s="68">
        <v>1</v>
      </c>
      <c r="D86" s="68" t="s">
        <v>2148</v>
      </c>
      <c r="E86" s="68" t="str">
        <f t="shared" si="1"/>
        <v>Databases and SQL::1::Describe a database</v>
      </c>
      <c r="F86" s="68">
        <v>4.0999999999999996</v>
      </c>
      <c r="G86" s="68" t="s">
        <v>13</v>
      </c>
      <c r="H86" s="68" t="s">
        <v>1087</v>
      </c>
    </row>
    <row r="87" spans="1:8" ht="13" x14ac:dyDescent="0.15">
      <c r="A87" s="68" t="s">
        <v>2056</v>
      </c>
      <c r="B87" s="68" t="s">
        <v>119</v>
      </c>
      <c r="C87" s="68">
        <v>1</v>
      </c>
      <c r="D87" s="68" t="s">
        <v>2149</v>
      </c>
      <c r="E87" s="68" t="str">
        <f t="shared" si="1"/>
        <v>Databases and SQL::1::Define database key terms (table, record, field, primary key, foreign key)</v>
      </c>
      <c r="F87" s="68">
        <v>4.0999999999999996</v>
      </c>
      <c r="G87" s="68" t="s">
        <v>13</v>
      </c>
      <c r="H87" s="68" t="s">
        <v>1087</v>
      </c>
    </row>
    <row r="88" spans="1:8" ht="13" x14ac:dyDescent="0.15">
      <c r="A88" s="68" t="s">
        <v>2056</v>
      </c>
      <c r="B88" s="68" t="s">
        <v>119</v>
      </c>
      <c r="C88" s="68">
        <v>1</v>
      </c>
      <c r="D88" s="68" t="s">
        <v>2150</v>
      </c>
      <c r="E88" s="68" t="str">
        <f t="shared" si="1"/>
        <v>Databases and SQL::1::Describe a flat file database</v>
      </c>
      <c r="F88" s="68">
        <v>4.0999999999999996</v>
      </c>
      <c r="G88" s="68" t="s">
        <v>13</v>
      </c>
      <c r="H88" s="68" t="s">
        <v>1087</v>
      </c>
    </row>
    <row r="89" spans="1:8" ht="13" x14ac:dyDescent="0.15">
      <c r="A89" s="68" t="s">
        <v>2056</v>
      </c>
      <c r="B89" s="68" t="s">
        <v>119</v>
      </c>
      <c r="C89" s="68">
        <v>1</v>
      </c>
      <c r="D89" s="68" t="s">
        <v>2151</v>
      </c>
      <c r="E89" s="68" t="str">
        <f t="shared" si="1"/>
        <v>Databases and SQL::1::Describe a relational database</v>
      </c>
      <c r="F89" s="68">
        <v>4.0999999999999996</v>
      </c>
      <c r="G89" s="68" t="s">
        <v>13</v>
      </c>
      <c r="H89" s="68" t="s">
        <v>1087</v>
      </c>
    </row>
    <row r="90" spans="1:8" ht="13" x14ac:dyDescent="0.15">
      <c r="A90" s="68" t="s">
        <v>2056</v>
      </c>
      <c r="B90" s="68" t="s">
        <v>119</v>
      </c>
      <c r="C90" s="68">
        <v>2</v>
      </c>
      <c r="D90" s="68" t="s">
        <v>2152</v>
      </c>
      <c r="E90" s="68" t="str">
        <f t="shared" si="1"/>
        <v>Databases and SQL::2::Describe the function of SQL</v>
      </c>
      <c r="F90" s="68">
        <v>4.0999999999999996</v>
      </c>
      <c r="G90" s="68" t="s">
        <v>1895</v>
      </c>
      <c r="H90" s="68" t="s">
        <v>1087</v>
      </c>
    </row>
    <row r="91" spans="1:8" ht="13" x14ac:dyDescent="0.15">
      <c r="A91" s="68" t="s">
        <v>2056</v>
      </c>
      <c r="B91" s="68" t="s">
        <v>119</v>
      </c>
      <c r="C91" s="68">
        <v>2</v>
      </c>
      <c r="D91" s="68" t="s">
        <v>2153</v>
      </c>
      <c r="E91" s="68" t="str">
        <f t="shared" si="1"/>
        <v>Databases and SQL::2::Use SQL to retrieve data from a table in a relational database</v>
      </c>
      <c r="F91" s="68">
        <v>4.0999999999999996</v>
      </c>
      <c r="G91" s="68" t="s">
        <v>1895</v>
      </c>
      <c r="H91" s="68" t="s">
        <v>1087</v>
      </c>
    </row>
    <row r="92" spans="1:8" ht="13" x14ac:dyDescent="0.15">
      <c r="A92" s="68" t="s">
        <v>2056</v>
      </c>
      <c r="B92" s="68" t="s">
        <v>119</v>
      </c>
      <c r="C92" s="68">
        <v>2</v>
      </c>
      <c r="D92" s="68" t="s">
        <v>2154</v>
      </c>
      <c r="E92" s="68" t="str">
        <f t="shared" si="1"/>
        <v>Databases and SQL::2::Use SQL to retrieve data from more than one table in a relational database</v>
      </c>
      <c r="F92" s="68">
        <v>4.0999999999999996</v>
      </c>
      <c r="G92" s="68" t="s">
        <v>1895</v>
      </c>
      <c r="H92" s="68" t="s">
        <v>1087</v>
      </c>
    </row>
    <row r="93" spans="1:8" ht="13" x14ac:dyDescent="0.15">
      <c r="A93" s="68" t="s">
        <v>2056</v>
      </c>
      <c r="B93" s="68" t="s">
        <v>119</v>
      </c>
      <c r="C93" s="68">
        <v>3</v>
      </c>
      <c r="D93" s="68" t="s">
        <v>2155</v>
      </c>
      <c r="E93" s="68" t="str">
        <f t="shared" si="1"/>
        <v>Databases and SQL::3::Describe the function of different data types.</v>
      </c>
      <c r="F93" s="68">
        <v>4.0999999999999996</v>
      </c>
      <c r="G93" s="68" t="s">
        <v>13</v>
      </c>
      <c r="H93" s="68" t="s">
        <v>1087</v>
      </c>
    </row>
    <row r="94" spans="1:8" ht="13" x14ac:dyDescent="0.15">
      <c r="A94" s="68" t="s">
        <v>2056</v>
      </c>
      <c r="B94" s="68" t="s">
        <v>119</v>
      </c>
      <c r="C94" s="68">
        <v>3</v>
      </c>
      <c r="D94" s="68" t="s">
        <v>2156</v>
      </c>
      <c r="E94" s="68" t="str">
        <f t="shared" si="1"/>
        <v>Databases and SQL::3::Use SQL to insert, update and delete data into a relational database</v>
      </c>
      <c r="F94" s="68">
        <v>4.0999999999999996</v>
      </c>
      <c r="G94" s="68" t="s">
        <v>1895</v>
      </c>
      <c r="H94" s="68" t="s">
        <v>1087</v>
      </c>
    </row>
    <row r="95" spans="1:8" ht="13" x14ac:dyDescent="0.15">
      <c r="A95" s="68" t="s">
        <v>2056</v>
      </c>
      <c r="B95" s="68" t="s">
        <v>119</v>
      </c>
      <c r="C95" s="68">
        <v>4</v>
      </c>
      <c r="D95" s="68" t="s">
        <v>2157</v>
      </c>
      <c r="E95" s="68" t="str">
        <f t="shared" si="1"/>
        <v>Databases and SQL::4::Interrogate and update an existing database</v>
      </c>
      <c r="F95" s="68">
        <v>4.0999999999999996</v>
      </c>
      <c r="G95" s="68" t="s">
        <v>1895</v>
      </c>
      <c r="H95" s="68" t="s">
        <v>1087</v>
      </c>
    </row>
    <row r="96" spans="1:8" ht="13" x14ac:dyDescent="0.15">
      <c r="A96" s="68" t="s">
        <v>2056</v>
      </c>
      <c r="B96" s="68" t="s">
        <v>119</v>
      </c>
      <c r="C96" s="68">
        <v>5</v>
      </c>
      <c r="D96" s="68" t="s">
        <v>2157</v>
      </c>
      <c r="E96" s="68" t="str">
        <f t="shared" si="1"/>
        <v>Databases and SQL::5::Interrogate and update an existing database</v>
      </c>
      <c r="F96" s="68">
        <v>4.0999999999999996</v>
      </c>
      <c r="G96" s="68" t="s">
        <v>1895</v>
      </c>
      <c r="H96" s="68" t="s">
        <v>1087</v>
      </c>
    </row>
    <row r="97" spans="1:8" ht="13" x14ac:dyDescent="0.15">
      <c r="A97" s="68" t="s">
        <v>2056</v>
      </c>
      <c r="B97" s="68" t="s">
        <v>2158</v>
      </c>
      <c r="C97" s="68">
        <v>1</v>
      </c>
      <c r="D97" s="68" t="s">
        <v>2159</v>
      </c>
      <c r="E97" s="68" t="str">
        <f t="shared" si="1"/>
        <v>Data representations::1::Give examples of the use of representation</v>
      </c>
      <c r="F97" s="68" t="s">
        <v>1944</v>
      </c>
      <c r="G97" s="68" t="s">
        <v>13</v>
      </c>
      <c r="H97" s="68" t="s">
        <v>1087</v>
      </c>
    </row>
    <row r="98" spans="1:8" ht="13" x14ac:dyDescent="0.15">
      <c r="A98" s="68" t="s">
        <v>2056</v>
      </c>
      <c r="B98" s="68" t="s">
        <v>2158</v>
      </c>
      <c r="C98" s="68">
        <v>1</v>
      </c>
      <c r="D98" s="68" t="s">
        <v>2160</v>
      </c>
      <c r="E98" s="68" t="str">
        <f t="shared" si="1"/>
        <v>Data representations::1::Explain how binary relates to two-state electrical signals</v>
      </c>
      <c r="F98" s="68" t="s">
        <v>1944</v>
      </c>
      <c r="G98" s="68" t="s">
        <v>13</v>
      </c>
      <c r="H98" s="68" t="s">
        <v>1087</v>
      </c>
    </row>
    <row r="99" spans="1:8" ht="13" x14ac:dyDescent="0.15">
      <c r="A99" s="68" t="s">
        <v>2056</v>
      </c>
      <c r="B99" s="68" t="s">
        <v>2158</v>
      </c>
      <c r="C99" s="68">
        <v>2</v>
      </c>
      <c r="D99" s="68" t="s">
        <v>2161</v>
      </c>
      <c r="E99" s="68" t="str">
        <f t="shared" si="1"/>
        <v>Data representations::2::Work out what range of numbers can be stored in a specific number of bits</v>
      </c>
      <c r="F99" s="68" t="s">
        <v>1944</v>
      </c>
      <c r="G99" s="68" t="s">
        <v>13</v>
      </c>
      <c r="H99" s="68" t="s">
        <v>1087</v>
      </c>
    </row>
    <row r="100" spans="1:8" ht="13" x14ac:dyDescent="0.15">
      <c r="A100" s="68" t="s">
        <v>2056</v>
      </c>
      <c r="B100" s="68" t="s">
        <v>2158</v>
      </c>
      <c r="C100" s="68">
        <v>2</v>
      </c>
      <c r="D100" s="68" t="s">
        <v>2162</v>
      </c>
      <c r="E100" s="68" t="str">
        <f t="shared" si="1"/>
        <v>Data representations::2::Explain the concept of a number base</v>
      </c>
      <c r="F100" s="68" t="s">
        <v>1944</v>
      </c>
      <c r="G100" s="68" t="s">
        <v>13</v>
      </c>
      <c r="H100" s="68" t="s">
        <v>1087</v>
      </c>
    </row>
    <row r="101" spans="1:8" ht="13" x14ac:dyDescent="0.15">
      <c r="A101" s="68" t="s">
        <v>2056</v>
      </c>
      <c r="B101" s="68" t="s">
        <v>2158</v>
      </c>
      <c r="C101" s="68">
        <v>2</v>
      </c>
      <c r="D101" s="68" t="s">
        <v>2163</v>
      </c>
      <c r="E101" s="68" t="str">
        <f t="shared" si="1"/>
        <v>Data representations::2::Convert a positive binary integer to decimal</v>
      </c>
      <c r="F101" s="68" t="s">
        <v>1944</v>
      </c>
      <c r="G101" s="68" t="s">
        <v>13</v>
      </c>
      <c r="H101" s="68" t="s">
        <v>1087</v>
      </c>
    </row>
    <row r="102" spans="1:8" ht="13" x14ac:dyDescent="0.15">
      <c r="A102" s="68" t="s">
        <v>2056</v>
      </c>
      <c r="B102" s="68" t="s">
        <v>2158</v>
      </c>
      <c r="C102" s="68">
        <v>2</v>
      </c>
      <c r="D102" s="68" t="s">
        <v>2164</v>
      </c>
      <c r="E102" s="68" t="str">
        <f t="shared" si="1"/>
        <v>Data representations::2::Convert a decimal number to binary</v>
      </c>
      <c r="F102" s="68" t="s">
        <v>1944</v>
      </c>
      <c r="G102" s="68" t="s">
        <v>13</v>
      </c>
      <c r="H102" s="68" t="s">
        <v>1087</v>
      </c>
    </row>
    <row r="103" spans="1:8" ht="13" x14ac:dyDescent="0.15">
      <c r="A103" s="68" t="s">
        <v>2056</v>
      </c>
      <c r="B103" s="68" t="s">
        <v>2158</v>
      </c>
      <c r="C103" s="68">
        <v>2</v>
      </c>
      <c r="D103" s="68" t="s">
        <v>2165</v>
      </c>
      <c r="E103" s="68" t="str">
        <f t="shared" si="1"/>
        <v>Data representations::2::Define the term ‘bit’</v>
      </c>
      <c r="F103" s="68" t="s">
        <v>1944</v>
      </c>
      <c r="G103" s="68" t="s">
        <v>13</v>
      </c>
      <c r="H103" s="68" t="s">
        <v>1087</v>
      </c>
    </row>
    <row r="104" spans="1:8" ht="13" x14ac:dyDescent="0.15">
      <c r="A104" s="68" t="s">
        <v>2056</v>
      </c>
      <c r="B104" s="68" t="s">
        <v>2158</v>
      </c>
      <c r="C104" s="68">
        <v>3</v>
      </c>
      <c r="D104" s="68" t="s">
        <v>2166</v>
      </c>
      <c r="E104" s="68" t="str">
        <f t="shared" si="1"/>
        <v>Data representations::3::Perform binary shifts (logical)</v>
      </c>
      <c r="F104" s="68" t="s">
        <v>1944</v>
      </c>
      <c r="G104" s="68" t="s">
        <v>13</v>
      </c>
      <c r="H104" s="68" t="s">
        <v>1087</v>
      </c>
    </row>
    <row r="105" spans="1:8" ht="13" x14ac:dyDescent="0.15">
      <c r="A105" s="68" t="s">
        <v>2056</v>
      </c>
      <c r="B105" s="68" t="s">
        <v>2158</v>
      </c>
      <c r="C105" s="68">
        <v>3</v>
      </c>
      <c r="D105" s="68" t="s">
        <v>2167</v>
      </c>
      <c r="E105" s="68" t="str">
        <f t="shared" si="1"/>
        <v>Data representations::3::Perform binary addition</v>
      </c>
      <c r="F105" s="68" t="s">
        <v>1944</v>
      </c>
      <c r="G105" s="68" t="s">
        <v>13</v>
      </c>
      <c r="H105" s="68" t="s">
        <v>1087</v>
      </c>
    </row>
    <row r="106" spans="1:8" ht="13" x14ac:dyDescent="0.15">
      <c r="A106" s="68" t="s">
        <v>2056</v>
      </c>
      <c r="B106" s="68" t="s">
        <v>2158</v>
      </c>
      <c r="C106" s="68">
        <v>3</v>
      </c>
      <c r="D106" s="68" t="s">
        <v>2168</v>
      </c>
      <c r="E106" s="68" t="str">
        <f t="shared" si="1"/>
        <v>Data representations::3::Explain why overflow might occur</v>
      </c>
      <c r="F106" s="68" t="s">
        <v>1944</v>
      </c>
      <c r="G106" s="68" t="s">
        <v>13</v>
      </c>
      <c r="H106" s="68" t="s">
        <v>1087</v>
      </c>
    </row>
    <row r="107" spans="1:8" ht="13" x14ac:dyDescent="0.15">
      <c r="A107" s="68" t="s">
        <v>2056</v>
      </c>
      <c r="B107" s="68" t="s">
        <v>2158</v>
      </c>
      <c r="C107" s="68">
        <v>3</v>
      </c>
      <c r="D107" s="68" t="s">
        <v>2169</v>
      </c>
      <c r="E107" s="68" t="str">
        <f t="shared" si="1"/>
        <v>Data representations::3::Define the term ‘byte’</v>
      </c>
      <c r="F107" s="68" t="s">
        <v>1944</v>
      </c>
      <c r="G107" s="68" t="s">
        <v>13</v>
      </c>
      <c r="H107" s="68" t="s">
        <v>1087</v>
      </c>
    </row>
    <row r="108" spans="1:8" ht="13" x14ac:dyDescent="0.15">
      <c r="A108" s="68" t="s">
        <v>2056</v>
      </c>
      <c r="B108" s="68" t="s">
        <v>2158</v>
      </c>
      <c r="C108" s="68">
        <v>4</v>
      </c>
      <c r="D108" s="68" t="s">
        <v>2170</v>
      </c>
      <c r="E108" s="68" t="str">
        <f t="shared" si="1"/>
        <v>Data representations::4::Explain how numbers are represented using hexadecimal</v>
      </c>
      <c r="F108" s="68" t="s">
        <v>1944</v>
      </c>
      <c r="G108" s="68" t="s">
        <v>13</v>
      </c>
      <c r="H108" s="68" t="s">
        <v>1087</v>
      </c>
    </row>
    <row r="109" spans="1:8" ht="13" x14ac:dyDescent="0.15">
      <c r="A109" s="68" t="s">
        <v>2056</v>
      </c>
      <c r="B109" s="68" t="s">
        <v>2158</v>
      </c>
      <c r="C109" s="68">
        <v>4</v>
      </c>
      <c r="D109" s="68" t="s">
        <v>2171</v>
      </c>
      <c r="E109" s="68" t="str">
        <f t="shared" si="1"/>
        <v>Data representations::4::Convert decimal numbers to and from hexadecimal</v>
      </c>
      <c r="F109" s="68" t="s">
        <v>1944</v>
      </c>
      <c r="G109" s="68" t="s">
        <v>13</v>
      </c>
      <c r="H109" s="68" t="s">
        <v>1087</v>
      </c>
    </row>
    <row r="110" spans="1:8" ht="13" x14ac:dyDescent="0.15">
      <c r="A110" s="68" t="s">
        <v>2056</v>
      </c>
      <c r="B110" s="68" t="s">
        <v>2158</v>
      </c>
      <c r="C110" s="68">
        <v>4</v>
      </c>
      <c r="D110" s="68" t="s">
        <v>2172</v>
      </c>
      <c r="E110" s="68" t="str">
        <f t="shared" si="1"/>
        <v>Data representations::4::Explain why and where hexadecimal notation is used</v>
      </c>
      <c r="F110" s="68" t="s">
        <v>1944</v>
      </c>
      <c r="G110" s="68" t="s">
        <v>13</v>
      </c>
      <c r="H110" s="68" t="s">
        <v>1087</v>
      </c>
    </row>
    <row r="111" spans="1:8" ht="13" x14ac:dyDescent="0.15">
      <c r="A111" s="68" t="s">
        <v>2056</v>
      </c>
      <c r="B111" s="68" t="s">
        <v>2158</v>
      </c>
      <c r="C111" s="68">
        <v>5</v>
      </c>
      <c r="D111" s="68" t="s">
        <v>2173</v>
      </c>
      <c r="E111" s="68" t="str">
        <f t="shared" si="1"/>
        <v>Data representations::5::Be able to convert binary numbers to and from hexadecimal</v>
      </c>
      <c r="F111" s="68" t="s">
        <v>1944</v>
      </c>
      <c r="G111" s="68" t="s">
        <v>13</v>
      </c>
      <c r="H111" s="68" t="s">
        <v>1087</v>
      </c>
    </row>
    <row r="112" spans="1:8" ht="13" x14ac:dyDescent="0.15">
      <c r="A112" s="68" t="s">
        <v>2056</v>
      </c>
      <c r="B112" s="68" t="s">
        <v>2158</v>
      </c>
      <c r="C112" s="68">
        <v>5</v>
      </c>
      <c r="D112" s="68" t="s">
        <v>2174</v>
      </c>
      <c r="E112" s="68" t="str">
        <f t="shared" si="1"/>
        <v>Data representations::5::Define the term ‘nibble’</v>
      </c>
      <c r="F112" s="68" t="s">
        <v>1944</v>
      </c>
      <c r="G112" s="68" t="s">
        <v>13</v>
      </c>
      <c r="H112" s="68" t="s">
        <v>1087</v>
      </c>
    </row>
    <row r="113" spans="1:8" ht="13" x14ac:dyDescent="0.15">
      <c r="A113" s="68" t="s">
        <v>2056</v>
      </c>
      <c r="B113" s="68" t="s">
        <v>2158</v>
      </c>
      <c r="C113" s="68">
        <v>6</v>
      </c>
      <c r="D113" s="68" t="s">
        <v>2175</v>
      </c>
      <c r="E113" s="68" t="str">
        <f t="shared" si="1"/>
        <v>Data representations::6::Explain how ASCII is used to represent characters, and its limitations</v>
      </c>
      <c r="F113" s="68" t="s">
        <v>1944</v>
      </c>
      <c r="G113" s="68" t="s">
        <v>13</v>
      </c>
      <c r="H113" s="68" t="s">
        <v>1087</v>
      </c>
    </row>
    <row r="114" spans="1:8" ht="13" x14ac:dyDescent="0.15">
      <c r="A114" s="68" t="s">
        <v>2056</v>
      </c>
      <c r="B114" s="68" t="s">
        <v>2158</v>
      </c>
      <c r="C114" s="68">
        <v>6</v>
      </c>
      <c r="D114" s="68" t="s">
        <v>2176</v>
      </c>
      <c r="E114" s="68" t="str">
        <f t="shared" si="1"/>
        <v>Data representations::6::Explain what a character set is</v>
      </c>
      <c r="F114" s="68" t="s">
        <v>1944</v>
      </c>
      <c r="G114" s="68" t="s">
        <v>13</v>
      </c>
      <c r="H114" s="68" t="s">
        <v>1087</v>
      </c>
    </row>
    <row r="115" spans="1:8" ht="13" x14ac:dyDescent="0.15">
      <c r="A115" s="68" t="s">
        <v>2056</v>
      </c>
      <c r="B115" s="68" t="s">
        <v>2158</v>
      </c>
      <c r="C115" s="68">
        <v>6</v>
      </c>
      <c r="D115" s="68" t="s">
        <v>2177</v>
      </c>
      <c r="E115" s="68" t="str">
        <f t="shared" si="1"/>
        <v>Data representations::6::Explain the need for Unicode</v>
      </c>
      <c r="F115" s="68" t="s">
        <v>1944</v>
      </c>
      <c r="G115" s="68" t="s">
        <v>13</v>
      </c>
      <c r="H115" s="68" t="s">
        <v>1087</v>
      </c>
    </row>
    <row r="116" spans="1:8" ht="13" x14ac:dyDescent="0.15">
      <c r="A116" s="68" t="s">
        <v>2056</v>
      </c>
      <c r="B116" s="68" t="s">
        <v>2158</v>
      </c>
      <c r="C116" s="68">
        <v>6</v>
      </c>
      <c r="D116" s="68" t="s">
        <v>2178</v>
      </c>
      <c r="E116" s="68" t="str">
        <f t="shared" si="1"/>
        <v>Data representations::6::Be able to calculate the number of bits needed to store a piece of text</v>
      </c>
      <c r="F116" s="68" t="s">
        <v>1944</v>
      </c>
      <c r="G116" s="68" t="s">
        <v>13</v>
      </c>
      <c r="H116" s="68" t="s">
        <v>1087</v>
      </c>
    </row>
    <row r="117" spans="1:8" ht="13" x14ac:dyDescent="0.15">
      <c r="A117" s="68" t="s">
        <v>2056</v>
      </c>
      <c r="B117" s="68" t="s">
        <v>2158</v>
      </c>
      <c r="C117" s="68">
        <v>7</v>
      </c>
      <c r="D117" s="68" t="s">
        <v>2179</v>
      </c>
      <c r="E117" s="68" t="str">
        <f t="shared" si="1"/>
        <v>Data representations::7::Describe what a pixel is and how pixels relate to images</v>
      </c>
      <c r="F117" s="68" t="s">
        <v>1944</v>
      </c>
      <c r="G117" s="68" t="s">
        <v>13</v>
      </c>
      <c r="H117" s="68" t="s">
        <v>1087</v>
      </c>
    </row>
    <row r="118" spans="1:8" ht="13" x14ac:dyDescent="0.15">
      <c r="A118" s="68" t="s">
        <v>2056</v>
      </c>
      <c r="B118" s="68" t="s">
        <v>2158</v>
      </c>
      <c r="C118" s="68">
        <v>7</v>
      </c>
      <c r="D118" s="68" t="s">
        <v>2180</v>
      </c>
      <c r="E118" s="68" t="str">
        <f t="shared" si="1"/>
        <v>Data representations::7::Explain how bitmaps are used to represent images</v>
      </c>
      <c r="F118" s="68" t="s">
        <v>1944</v>
      </c>
      <c r="G118" s="68" t="s">
        <v>13</v>
      </c>
      <c r="H118" s="68" t="s">
        <v>1087</v>
      </c>
    </row>
    <row r="119" spans="1:8" ht="13" x14ac:dyDescent="0.15">
      <c r="A119" s="68" t="s">
        <v>2056</v>
      </c>
      <c r="B119" s="68" t="s">
        <v>2158</v>
      </c>
      <c r="C119" s="68">
        <v>7</v>
      </c>
      <c r="D119" s="68" t="s">
        <v>2181</v>
      </c>
      <c r="E119" s="68" t="str">
        <f t="shared" si="1"/>
        <v>Data representations::7::Convert between binary data and black and white bitmaps</v>
      </c>
      <c r="F119" s="68" t="s">
        <v>1944</v>
      </c>
      <c r="G119" s="68" t="s">
        <v>13</v>
      </c>
      <c r="H119" s="68" t="s">
        <v>1087</v>
      </c>
    </row>
    <row r="120" spans="1:8" ht="13" x14ac:dyDescent="0.15">
      <c r="A120" s="68" t="s">
        <v>2056</v>
      </c>
      <c r="B120" s="68" t="s">
        <v>2158</v>
      </c>
      <c r="C120" s="68">
        <v>7</v>
      </c>
      <c r="D120" s="68" t="s">
        <v>2182</v>
      </c>
      <c r="E120" s="68" t="str">
        <f t="shared" si="1"/>
        <v>Data representations::7::Explain the relationship between resolution, colour depth, and file size for images</v>
      </c>
      <c r="F120" s="68" t="s">
        <v>1944</v>
      </c>
      <c r="G120" s="68" t="s">
        <v>13</v>
      </c>
      <c r="H120" s="68" t="s">
        <v>1087</v>
      </c>
    </row>
    <row r="121" spans="1:8" ht="13" x14ac:dyDescent="0.15">
      <c r="A121" s="68" t="s">
        <v>2056</v>
      </c>
      <c r="B121" s="68" t="s">
        <v>2158</v>
      </c>
      <c r="C121" s="68">
        <v>7</v>
      </c>
      <c r="D121" s="68" t="s">
        <v>2183</v>
      </c>
      <c r="E121" s="68" t="str">
        <f t="shared" si="1"/>
        <v>Data representations::7::Describe colour depth and resolution, and how they impact on image quality</v>
      </c>
      <c r="F121" s="68" t="s">
        <v>1944</v>
      </c>
      <c r="G121" s="68" t="s">
        <v>13</v>
      </c>
      <c r="H121" s="68" t="s">
        <v>1087</v>
      </c>
    </row>
    <row r="122" spans="1:8" ht="13" x14ac:dyDescent="0.15">
      <c r="A122" s="68" t="s">
        <v>2056</v>
      </c>
      <c r="B122" s="68" t="s">
        <v>2158</v>
      </c>
      <c r="C122" s="68">
        <v>8</v>
      </c>
      <c r="D122" s="68" t="s">
        <v>2184</v>
      </c>
      <c r="E122" s="68" t="str">
        <f t="shared" si="1"/>
        <v>Data representations::8::Define the terms ‘bit’, ‘nibble’, ‘byte’, ‘megabyte’, ‘gigabyte’, ‘terabyte’, and ‘petabyte’</v>
      </c>
      <c r="F122" s="68" t="s">
        <v>1944</v>
      </c>
      <c r="G122" s="68" t="s">
        <v>13</v>
      </c>
      <c r="H122" s="68" t="s">
        <v>1087</v>
      </c>
    </row>
    <row r="123" spans="1:8" ht="13" x14ac:dyDescent="0.15">
      <c r="A123" s="68" t="s">
        <v>2056</v>
      </c>
      <c r="B123" s="68" t="s">
        <v>2158</v>
      </c>
      <c r="C123" s="68">
        <v>8</v>
      </c>
      <c r="D123" s="68" t="s">
        <v>2185</v>
      </c>
      <c r="E123" s="68" t="str">
        <f t="shared" si="1"/>
        <v>Data representations::8::Be able to convert between units of measurement</v>
      </c>
      <c r="F123" s="68" t="s">
        <v>1944</v>
      </c>
      <c r="G123" s="68" t="s">
        <v>13</v>
      </c>
      <c r="H123" s="68" t="s">
        <v>1087</v>
      </c>
    </row>
    <row r="124" spans="1:8" ht="13" x14ac:dyDescent="0.15">
      <c r="A124" s="68" t="s">
        <v>2056</v>
      </c>
      <c r="B124" s="68" t="s">
        <v>2158</v>
      </c>
      <c r="C124" s="68">
        <v>8</v>
      </c>
      <c r="D124" s="68" t="s">
        <v>2186</v>
      </c>
      <c r="E124" s="68" t="str">
        <f t="shared" si="1"/>
        <v>Data representations::8::Explain the difference between raster and vector graphics</v>
      </c>
      <c r="F124" s="68" t="s">
        <v>1944</v>
      </c>
      <c r="G124" s="68" t="s">
        <v>13</v>
      </c>
      <c r="H124" s="68" t="s">
        <v>1087</v>
      </c>
    </row>
    <row r="125" spans="1:8" ht="13" x14ac:dyDescent="0.15">
      <c r="A125" s="68" t="s">
        <v>2056</v>
      </c>
      <c r="B125" s="68" t="s">
        <v>2158</v>
      </c>
      <c r="C125" s="68">
        <v>8</v>
      </c>
      <c r="D125" s="68" t="s">
        <v>2187</v>
      </c>
      <c r="E125" s="68" t="str">
        <f t="shared" si="1"/>
        <v>Data representations::8::Describe the use of metadata in image files</v>
      </c>
      <c r="F125" s="68" t="s">
        <v>1944</v>
      </c>
      <c r="G125" s="68" t="s">
        <v>13</v>
      </c>
      <c r="H125" s="68" t="s">
        <v>1087</v>
      </c>
    </row>
    <row r="126" spans="1:8" ht="13" x14ac:dyDescent="0.15">
      <c r="A126" s="68" t="s">
        <v>2056</v>
      </c>
      <c r="B126" s="68" t="s">
        <v>2158</v>
      </c>
      <c r="C126" s="68">
        <v>9</v>
      </c>
      <c r="D126" s="68" t="s">
        <v>2188</v>
      </c>
      <c r="E126" s="68" t="str">
        <f t="shared" si="1"/>
        <v>Data representations::9::Explain why analogue sound data needs to be converted to discrete values</v>
      </c>
      <c r="F126" s="68" t="s">
        <v>1944</v>
      </c>
      <c r="G126" s="68" t="s">
        <v>13</v>
      </c>
      <c r="H126" s="68" t="s">
        <v>1087</v>
      </c>
    </row>
    <row r="127" spans="1:8" ht="13" x14ac:dyDescent="0.15">
      <c r="A127" s="68" t="s">
        <v>2056</v>
      </c>
      <c r="B127" s="68" t="s">
        <v>2158</v>
      </c>
      <c r="C127" s="68">
        <v>9</v>
      </c>
      <c r="D127" s="68" t="s">
        <v>2189</v>
      </c>
      <c r="E127" s="68" t="str">
        <f t="shared" si="1"/>
        <v>Data representations::9::Describe the concepts of sampling, sample rate, and sample resolution</v>
      </c>
      <c r="F127" s="68" t="s">
        <v>1944</v>
      </c>
      <c r="G127" s="68" t="s">
        <v>13</v>
      </c>
      <c r="H127" s="68" t="s">
        <v>1087</v>
      </c>
    </row>
    <row r="128" spans="1:8" ht="13" x14ac:dyDescent="0.15">
      <c r="A128" s="68" t="s">
        <v>2056</v>
      </c>
      <c r="B128" s="68" t="s">
        <v>2158</v>
      </c>
      <c r="C128" s="68">
        <v>9</v>
      </c>
      <c r="D128" s="68" t="s">
        <v>2190</v>
      </c>
      <c r="E128" s="68" t="str">
        <f t="shared" si="1"/>
        <v>Data representations::9::Describe the use of metadata in sound files</v>
      </c>
      <c r="F128" s="68" t="s">
        <v>1944</v>
      </c>
      <c r="G128" s="68" t="s">
        <v>13</v>
      </c>
      <c r="H128" s="68" t="s">
        <v>1087</v>
      </c>
    </row>
    <row r="129" spans="1:8" ht="13" x14ac:dyDescent="0.15">
      <c r="A129" s="68" t="s">
        <v>2056</v>
      </c>
      <c r="B129" s="68" t="s">
        <v>2158</v>
      </c>
      <c r="C129" s="68">
        <v>9</v>
      </c>
      <c r="D129" s="68" t="s">
        <v>2191</v>
      </c>
      <c r="E129" s="68" t="str">
        <f t="shared" si="1"/>
        <v>Data representations::9::Calculate file size requirements for sound files</v>
      </c>
      <c r="F129" s="68" t="s">
        <v>1944</v>
      </c>
      <c r="G129" s="68" t="s">
        <v>13</v>
      </c>
      <c r="H129" s="68" t="s">
        <v>1087</v>
      </c>
    </row>
    <row r="130" spans="1:8" ht="13" x14ac:dyDescent="0.15">
      <c r="A130" s="68" t="s">
        <v>2056</v>
      </c>
      <c r="B130" s="68" t="s">
        <v>2158</v>
      </c>
      <c r="C130" s="68">
        <v>10</v>
      </c>
      <c r="D130" s="68" t="s">
        <v>2188</v>
      </c>
      <c r="E130" s="68" t="str">
        <f t="shared" ref="E130:E193" si="2">B130&amp;"::"&amp;C130&amp;"::"&amp;D130</f>
        <v>Data representations::10::Explain why analogue sound data needs to be converted to discrete values</v>
      </c>
      <c r="F130" s="68" t="s">
        <v>1944</v>
      </c>
      <c r="G130" s="68" t="s">
        <v>13</v>
      </c>
      <c r="H130" s="68" t="s">
        <v>1087</v>
      </c>
    </row>
    <row r="131" spans="1:8" ht="13" x14ac:dyDescent="0.15">
      <c r="A131" s="68" t="s">
        <v>2056</v>
      </c>
      <c r="B131" s="68" t="s">
        <v>2158</v>
      </c>
      <c r="C131" s="68">
        <v>10</v>
      </c>
      <c r="D131" s="68" t="s">
        <v>2189</v>
      </c>
      <c r="E131" s="68" t="str">
        <f t="shared" si="2"/>
        <v>Data representations::10::Describe the concepts of sampling, sample rate, and sample resolution</v>
      </c>
      <c r="F131" s="68" t="s">
        <v>1944</v>
      </c>
      <c r="G131" s="68" t="s">
        <v>13</v>
      </c>
      <c r="H131" s="68" t="s">
        <v>1087</v>
      </c>
    </row>
    <row r="132" spans="1:8" ht="13" x14ac:dyDescent="0.15">
      <c r="A132" s="68" t="s">
        <v>2056</v>
      </c>
      <c r="B132" s="68" t="s">
        <v>2158</v>
      </c>
      <c r="C132" s="68">
        <v>10</v>
      </c>
      <c r="D132" s="68" t="s">
        <v>2190</v>
      </c>
      <c r="E132" s="68" t="str">
        <f t="shared" si="2"/>
        <v>Data representations::10::Describe the use of metadata in sound files</v>
      </c>
      <c r="F132" s="68" t="s">
        <v>1944</v>
      </c>
      <c r="G132" s="68" t="s">
        <v>13</v>
      </c>
      <c r="H132" s="68" t="s">
        <v>1087</v>
      </c>
    </row>
    <row r="133" spans="1:8" ht="13" x14ac:dyDescent="0.15">
      <c r="A133" s="68" t="s">
        <v>2056</v>
      </c>
      <c r="B133" s="68" t="s">
        <v>2158</v>
      </c>
      <c r="C133" s="68">
        <v>10</v>
      </c>
      <c r="D133" s="68" t="s">
        <v>2191</v>
      </c>
      <c r="E133" s="68" t="str">
        <f t="shared" si="2"/>
        <v>Data representations::10::Calculate file size requirements for sound files</v>
      </c>
      <c r="F133" s="68" t="s">
        <v>1944</v>
      </c>
      <c r="G133" s="68" t="s">
        <v>13</v>
      </c>
      <c r="H133" s="68" t="s">
        <v>1087</v>
      </c>
    </row>
    <row r="134" spans="1:8" ht="13" x14ac:dyDescent="0.15">
      <c r="A134" s="68" t="s">
        <v>2056</v>
      </c>
      <c r="B134" s="68" t="s">
        <v>126</v>
      </c>
      <c r="C134" s="68">
        <v>1</v>
      </c>
      <c r="D134" s="68" t="s">
        <v>2192</v>
      </c>
      <c r="E134" s="68" t="str">
        <f t="shared" si="2"/>
        <v>HTML::1::Create a simple web page using basic tags</v>
      </c>
      <c r="F134" s="68" t="s">
        <v>1944</v>
      </c>
      <c r="G134" s="68" t="s">
        <v>2193</v>
      </c>
      <c r="H134" s="68" t="s">
        <v>1087</v>
      </c>
    </row>
    <row r="135" spans="1:8" ht="13" x14ac:dyDescent="0.15">
      <c r="A135" s="68" t="s">
        <v>2056</v>
      </c>
      <c r="B135" s="68" t="s">
        <v>126</v>
      </c>
      <c r="C135" s="68">
        <v>1</v>
      </c>
      <c r="D135" s="68" t="s">
        <v>2194</v>
      </c>
      <c r="E135" s="68" t="str">
        <f t="shared" si="2"/>
        <v>HTML::1::Describe the purpose of HTML and tags when designing a website</v>
      </c>
      <c r="F135" s="68" t="s">
        <v>1944</v>
      </c>
      <c r="G135" s="68" t="s">
        <v>1543</v>
      </c>
      <c r="H135" s="68" t="s">
        <v>1087</v>
      </c>
    </row>
    <row r="136" spans="1:8" ht="13" x14ac:dyDescent="0.15">
      <c r="A136" s="68" t="s">
        <v>2056</v>
      </c>
      <c r="B136" s="68" t="s">
        <v>126</v>
      </c>
      <c r="C136" s="68">
        <v>2</v>
      </c>
      <c r="D136" s="68" t="s">
        <v>2195</v>
      </c>
      <c r="E136" s="68" t="str">
        <f t="shared" si="2"/>
        <v>HTML::2::Describe what is meant by the term ‘accessibility’</v>
      </c>
      <c r="F136" s="68" t="s">
        <v>1944</v>
      </c>
      <c r="G136" s="68" t="s">
        <v>2196</v>
      </c>
      <c r="H136" s="68" t="s">
        <v>1087</v>
      </c>
    </row>
    <row r="137" spans="1:8" ht="13" x14ac:dyDescent="0.15">
      <c r="A137" s="68" t="s">
        <v>2056</v>
      </c>
      <c r="B137" s="68" t="s">
        <v>126</v>
      </c>
      <c r="C137" s="68">
        <v>2</v>
      </c>
      <c r="D137" s="68" t="s">
        <v>2197</v>
      </c>
      <c r="E137" s="68" t="str">
        <f t="shared" si="2"/>
        <v>HTML::2::Extend a HTML page to include images &lt;img&gt; and hyperlinks &lt;a href&gt;</v>
      </c>
      <c r="F137" s="68" t="s">
        <v>1944</v>
      </c>
      <c r="G137" s="68" t="s">
        <v>1724</v>
      </c>
      <c r="H137" s="68" t="s">
        <v>1087</v>
      </c>
    </row>
    <row r="138" spans="1:8" ht="13" x14ac:dyDescent="0.15">
      <c r="A138" s="68" t="s">
        <v>2056</v>
      </c>
      <c r="B138" s="68" t="s">
        <v>126</v>
      </c>
      <c r="C138" s="68">
        <v>3</v>
      </c>
      <c r="D138" s="68" t="s">
        <v>2198</v>
      </c>
      <c r="E138" s="68" t="str">
        <f t="shared" si="2"/>
        <v>HTML::3::Identify the common features of existing websites and the basics of what makes good web design</v>
      </c>
      <c r="F138" s="68" t="s">
        <v>1944</v>
      </c>
      <c r="G138" s="68" t="s">
        <v>2199</v>
      </c>
      <c r="H138" s="68" t="s">
        <v>1087</v>
      </c>
    </row>
    <row r="139" spans="1:8" ht="13" x14ac:dyDescent="0.15">
      <c r="A139" s="68" t="s">
        <v>2056</v>
      </c>
      <c r="B139" s="68" t="s">
        <v>126</v>
      </c>
      <c r="C139" s="68">
        <v>3</v>
      </c>
      <c r="D139" s="68" t="s">
        <v>2200</v>
      </c>
      <c r="E139" s="68" t="str">
        <f t="shared" si="2"/>
        <v>HTML::3::Design and create pages for a mini website</v>
      </c>
      <c r="F139" s="68" t="s">
        <v>1944</v>
      </c>
      <c r="G139" s="68" t="s">
        <v>2201</v>
      </c>
      <c r="H139" s="68" t="s">
        <v>1087</v>
      </c>
    </row>
    <row r="140" spans="1:8" ht="13" x14ac:dyDescent="0.15">
      <c r="A140" s="68" t="s">
        <v>2056</v>
      </c>
      <c r="B140" s="68" t="s">
        <v>126</v>
      </c>
      <c r="C140" s="68">
        <v>3</v>
      </c>
      <c r="D140" s="68" t="s">
        <v>2202</v>
      </c>
      <c r="E140" s="68" t="str">
        <f t="shared" si="2"/>
        <v>HTML::3::Create hyperlinks between pages stored locally within a folder</v>
      </c>
      <c r="F140" s="68" t="s">
        <v>1944</v>
      </c>
      <c r="G140" s="68" t="s">
        <v>2201</v>
      </c>
      <c r="H140" s="68" t="s">
        <v>1087</v>
      </c>
    </row>
    <row r="141" spans="1:8" ht="13" x14ac:dyDescent="0.15">
      <c r="A141" s="68" t="s">
        <v>2056</v>
      </c>
      <c r="B141" s="68" t="s">
        <v>126</v>
      </c>
      <c r="C141" s="68">
        <v>3</v>
      </c>
      <c r="D141" s="68" t="s">
        <v>2203</v>
      </c>
      <c r="E141" s="68" t="str">
        <f t="shared" si="2"/>
        <v>HTML::3::Insert images stored locally within a folder</v>
      </c>
      <c r="F141" s="68" t="s">
        <v>1944</v>
      </c>
      <c r="G141" s="68" t="s">
        <v>2201</v>
      </c>
      <c r="H141" s="68" t="s">
        <v>1087</v>
      </c>
    </row>
    <row r="142" spans="1:8" ht="13" x14ac:dyDescent="0.15">
      <c r="A142" s="68" t="s">
        <v>2056</v>
      </c>
      <c r="B142" s="68" t="s">
        <v>126</v>
      </c>
      <c r="C142" s="68">
        <v>4</v>
      </c>
      <c r="D142" s="68" t="s">
        <v>2204</v>
      </c>
      <c r="E142" s="68" t="str">
        <f t="shared" si="2"/>
        <v>HTML::4::Experiment with CSS by changing the style of the tags learnt so far in this unit</v>
      </c>
      <c r="F142" s="68" t="s">
        <v>1944</v>
      </c>
      <c r="G142" s="68" t="s">
        <v>2201</v>
      </c>
      <c r="H142" s="68" t="s">
        <v>1087</v>
      </c>
    </row>
    <row r="143" spans="1:8" ht="13" x14ac:dyDescent="0.15">
      <c r="A143" s="68" t="s">
        <v>2056</v>
      </c>
      <c r="B143" s="68" t="s">
        <v>126</v>
      </c>
      <c r="C143" s="68">
        <v>4</v>
      </c>
      <c r="D143" s="68" t="s">
        <v>2205</v>
      </c>
      <c r="E143" s="68" t="str">
        <f t="shared" si="2"/>
        <v>HTML::4::Describe the purpose of CSS and why it is needed in addition to HTML</v>
      </c>
      <c r="F143" s="68" t="s">
        <v>1944</v>
      </c>
      <c r="G143" s="68" t="s">
        <v>2201</v>
      </c>
      <c r="H143" s="68" t="s">
        <v>1087</v>
      </c>
    </row>
    <row r="144" spans="1:8" ht="13" x14ac:dyDescent="0.15">
      <c r="A144" s="68" t="s">
        <v>2056</v>
      </c>
      <c r="B144" s="68" t="s">
        <v>126</v>
      </c>
      <c r="C144" s="68">
        <v>5</v>
      </c>
      <c r="D144" s="68" t="s">
        <v>2206</v>
      </c>
      <c r="E144" s="68" t="str">
        <f t="shared" si="2"/>
        <v>HTML::5::Apply knowledge of CSS to DIVs within web pages using classes</v>
      </c>
      <c r="F144" s="68" t="s">
        <v>1944</v>
      </c>
      <c r="G144" s="68" t="s">
        <v>2199</v>
      </c>
      <c r="H144" s="68" t="s">
        <v>1087</v>
      </c>
    </row>
    <row r="145" spans="1:8" ht="13" x14ac:dyDescent="0.15">
      <c r="A145" s="68" t="s">
        <v>2056</v>
      </c>
      <c r="B145" s="68" t="s">
        <v>126</v>
      </c>
      <c r="C145" s="68">
        <v>5</v>
      </c>
      <c r="D145" s="68" t="s">
        <v>2207</v>
      </c>
      <c r="E145" s="68" t="str">
        <f t="shared" si="2"/>
        <v>HTML::5::Describe the purpose of DIV tags</v>
      </c>
      <c r="F145" s="68" t="s">
        <v>1944</v>
      </c>
      <c r="G145" s="68" t="s">
        <v>2199</v>
      </c>
      <c r="H145" s="68" t="s">
        <v>1087</v>
      </c>
    </row>
    <row r="146" spans="1:8" ht="13" x14ac:dyDescent="0.15">
      <c r="A146" s="68" t="s">
        <v>2056</v>
      </c>
      <c r="B146" s="68" t="s">
        <v>126</v>
      </c>
      <c r="C146" s="68">
        <v>6</v>
      </c>
      <c r="D146" s="68" t="s">
        <v>2208</v>
      </c>
      <c r="E146" s="68" t="str">
        <f t="shared" si="2"/>
        <v>HTML::6::Apply skills to position items within a page</v>
      </c>
      <c r="F146" s="68" t="s">
        <v>1944</v>
      </c>
      <c r="G146" s="68" t="s">
        <v>2201</v>
      </c>
      <c r="H146" s="68" t="s">
        <v>1087</v>
      </c>
    </row>
    <row r="147" spans="1:8" ht="13" x14ac:dyDescent="0.15">
      <c r="A147" s="68" t="s">
        <v>2056</v>
      </c>
      <c r="B147" s="68" t="s">
        <v>126</v>
      </c>
      <c r="C147" s="68">
        <v>6</v>
      </c>
      <c r="D147" s="68" t="s">
        <v>2209</v>
      </c>
      <c r="E147" s="68" t="str">
        <f t="shared" si="2"/>
        <v>HTML::6::Explain how to plan a website by developing house style and sketched wireframe</v>
      </c>
      <c r="F147" s="68" t="s">
        <v>1944</v>
      </c>
      <c r="G147" s="68" t="s">
        <v>1543</v>
      </c>
      <c r="H147" s="68" t="s">
        <v>1087</v>
      </c>
    </row>
    <row r="148" spans="1:8" ht="13" x14ac:dyDescent="0.15">
      <c r="A148" s="68" t="s">
        <v>2056</v>
      </c>
      <c r="B148" s="68" t="s">
        <v>126</v>
      </c>
      <c r="C148" s="68">
        <v>6</v>
      </c>
      <c r="D148" s="68" t="s">
        <v>2210</v>
      </c>
      <c r="E148" s="68" t="str">
        <f t="shared" si="2"/>
        <v>HTML::6::Describe the box model in CSS</v>
      </c>
      <c r="F148" s="68" t="s">
        <v>1944</v>
      </c>
      <c r="G148" s="68" t="s">
        <v>1543</v>
      </c>
      <c r="H148" s="68" t="s">
        <v>1087</v>
      </c>
    </row>
    <row r="149" spans="1:8" ht="13" x14ac:dyDescent="0.15">
      <c r="A149" s="68" t="s">
        <v>2056</v>
      </c>
      <c r="B149" s="68" t="s">
        <v>126</v>
      </c>
      <c r="C149" s="68">
        <v>7</v>
      </c>
      <c r="D149" s="68" t="s">
        <v>2211</v>
      </c>
      <c r="E149" s="68" t="str">
        <f t="shared" si="2"/>
        <v>HTML::7::Self/peer evaluate the webpage produced using a rubric</v>
      </c>
      <c r="F149" s="68" t="s">
        <v>1944</v>
      </c>
      <c r="G149" s="68" t="s">
        <v>16</v>
      </c>
      <c r="H149" s="68" t="s">
        <v>1087</v>
      </c>
    </row>
    <row r="150" spans="1:8" ht="13" x14ac:dyDescent="0.15">
      <c r="A150" s="68" t="s">
        <v>2056</v>
      </c>
      <c r="B150" s="68" t="s">
        <v>126</v>
      </c>
      <c r="C150" s="68">
        <v>7</v>
      </c>
      <c r="D150" s="68" t="s">
        <v>2212</v>
      </c>
      <c r="E150" s="68" t="str">
        <f t="shared" si="2"/>
        <v>HTML::7::Construct a three-page website to showcase the skills learned throughout this unit of study</v>
      </c>
      <c r="F150" s="68" t="s">
        <v>1944</v>
      </c>
      <c r="G150" s="68" t="s">
        <v>2201</v>
      </c>
      <c r="H150" s="68" t="s">
        <v>1087</v>
      </c>
    </row>
    <row r="151" spans="1:8" ht="13" x14ac:dyDescent="0.15">
      <c r="A151" s="68" t="s">
        <v>2056</v>
      </c>
      <c r="B151" s="68" t="s">
        <v>126</v>
      </c>
      <c r="C151" s="68">
        <v>8</v>
      </c>
      <c r="D151" s="68" t="s">
        <v>2213</v>
      </c>
      <c r="E151" s="68" t="str">
        <f t="shared" si="2"/>
        <v>HTML::8::Extend/finish the assessed website</v>
      </c>
      <c r="F151" s="68" t="s">
        <v>1944</v>
      </c>
      <c r="G151" s="68" t="s">
        <v>2201</v>
      </c>
      <c r="H151" s="68" t="s">
        <v>1087</v>
      </c>
    </row>
    <row r="152" spans="1:8" ht="13" x14ac:dyDescent="0.15">
      <c r="A152" s="68" t="s">
        <v>2056</v>
      </c>
      <c r="B152" s="68" t="s">
        <v>126</v>
      </c>
      <c r="C152" s="68">
        <v>8</v>
      </c>
      <c r="D152" s="68" t="s">
        <v>2214</v>
      </c>
      <c r="E152" s="68" t="str">
        <f t="shared" si="2"/>
        <v>HTML::8::Showcase the assessed website</v>
      </c>
      <c r="F152" s="68" t="s">
        <v>1944</v>
      </c>
      <c r="G152" s="68" t="s">
        <v>16</v>
      </c>
      <c r="H152" s="68" t="s">
        <v>1087</v>
      </c>
    </row>
    <row r="153" spans="1:8" ht="13" x14ac:dyDescent="0.15">
      <c r="A153" s="68" t="s">
        <v>2056</v>
      </c>
      <c r="B153" s="68" t="s">
        <v>126</v>
      </c>
      <c r="C153" s="68">
        <v>8</v>
      </c>
      <c r="D153" s="68" t="s">
        <v>2215</v>
      </c>
      <c r="E153" s="68" t="str">
        <f t="shared" si="2"/>
        <v>HTML::8::Demonstrate how much has been learnt by taking an end of unit test</v>
      </c>
      <c r="F153" s="68" t="s">
        <v>1944</v>
      </c>
      <c r="G153" s="68" t="s">
        <v>2201</v>
      </c>
      <c r="H153" s="68" t="s">
        <v>1087</v>
      </c>
    </row>
    <row r="154" spans="1:8" ht="13" x14ac:dyDescent="0.15">
      <c r="A154" s="68" t="s">
        <v>2056</v>
      </c>
      <c r="B154" s="68" t="s">
        <v>116</v>
      </c>
      <c r="C154" s="68">
        <v>1</v>
      </c>
      <c r="D154" s="68" t="s">
        <v>2216</v>
      </c>
      <c r="E154" s="68" t="str">
        <f t="shared" si="2"/>
        <v>Impacts of technology::1::Apply the terms ‘privacy’, ‘legal’, ‘ethical’, ‘environmental’, and ‘cultural’</v>
      </c>
      <c r="F154" s="68">
        <v>4.0999999999999996</v>
      </c>
      <c r="G154" s="68" t="s">
        <v>22</v>
      </c>
      <c r="H154" s="68" t="s">
        <v>89</v>
      </c>
    </row>
    <row r="155" spans="1:8" ht="13" x14ac:dyDescent="0.15">
      <c r="A155" s="68" t="s">
        <v>2056</v>
      </c>
      <c r="B155" s="68" t="s">
        <v>116</v>
      </c>
      <c r="C155" s="68">
        <v>1</v>
      </c>
      <c r="D155" s="68" t="s">
        <v>2217</v>
      </c>
      <c r="E155" s="68" t="str">
        <f t="shared" si="2"/>
        <v>Impacts of technology::1::Explain data legislation, including an organisation’s obligation to protect and supply data</v>
      </c>
      <c r="F155" s="68">
        <v>4.0999999999999996</v>
      </c>
      <c r="G155" s="68" t="s">
        <v>1837</v>
      </c>
      <c r="H155" s="68" t="s">
        <v>89</v>
      </c>
    </row>
    <row r="156" spans="1:8" ht="13" x14ac:dyDescent="0.15">
      <c r="A156" s="68" t="s">
        <v>2056</v>
      </c>
      <c r="B156" s="68" t="s">
        <v>116</v>
      </c>
      <c r="C156" s="68">
        <v>2</v>
      </c>
      <c r="D156" s="68" t="s">
        <v>2218</v>
      </c>
      <c r="E156" s="68" t="str">
        <f t="shared" si="2"/>
        <v>Impacts of technology::2::Explain the term ‘stakeholder’</v>
      </c>
      <c r="F156" s="68">
        <v>4.0999999999999996</v>
      </c>
      <c r="G156" s="68" t="s">
        <v>22</v>
      </c>
      <c r="H156" s="68" t="s">
        <v>89</v>
      </c>
    </row>
    <row r="157" spans="1:8" ht="13" x14ac:dyDescent="0.15">
      <c r="A157" s="68" t="s">
        <v>2056</v>
      </c>
      <c r="B157" s="68" t="s">
        <v>116</v>
      </c>
      <c r="C157" s="68">
        <v>2</v>
      </c>
      <c r="D157" s="68" t="s">
        <v>2219</v>
      </c>
      <c r="E157" s="68" t="str">
        <f t="shared" si="2"/>
        <v>Impacts of technology::2::Explain the right to be forgotten</v>
      </c>
      <c r="F157" s="68">
        <v>4.0999999999999996</v>
      </c>
      <c r="G157" s="68" t="s">
        <v>1837</v>
      </c>
      <c r="H157" s="68" t="s">
        <v>89</v>
      </c>
    </row>
    <row r="158" spans="1:8" ht="13" x14ac:dyDescent="0.15">
      <c r="A158" s="68" t="s">
        <v>2056</v>
      </c>
      <c r="B158" s="68" t="s">
        <v>116</v>
      </c>
      <c r="C158" s="68">
        <v>2</v>
      </c>
      <c r="D158" s="68" t="s">
        <v>2220</v>
      </c>
      <c r="E158" s="68" t="str">
        <f t="shared" si="2"/>
        <v>Impacts of technology::2::Distinguish the differences between legitimate creative uses and clear infringement of material subject to copyright</v>
      </c>
      <c r="F158" s="68">
        <v>4.0999999999999996</v>
      </c>
      <c r="G158" s="68" t="s">
        <v>22</v>
      </c>
      <c r="H158" s="68" t="s">
        <v>89</v>
      </c>
    </row>
    <row r="159" spans="1:8" ht="13" x14ac:dyDescent="0.15">
      <c r="A159" s="68" t="s">
        <v>2056</v>
      </c>
      <c r="B159" s="68" t="s">
        <v>116</v>
      </c>
      <c r="C159" s="68">
        <v>3</v>
      </c>
      <c r="D159" s="68" t="s">
        <v>2221</v>
      </c>
      <c r="E159" s="68" t="str">
        <f t="shared" si="2"/>
        <v>Impacts of technology::3::Explain the Freedom of Information Act</v>
      </c>
      <c r="F159" s="68">
        <v>4.0999999999999996</v>
      </c>
      <c r="G159" s="68" t="s">
        <v>22</v>
      </c>
      <c r="H159" s="68" t="s">
        <v>89</v>
      </c>
    </row>
    <row r="160" spans="1:8" ht="13" x14ac:dyDescent="0.15">
      <c r="A160" s="68" t="s">
        <v>2056</v>
      </c>
      <c r="B160" s="68" t="s">
        <v>116</v>
      </c>
      <c r="C160" s="68">
        <v>3</v>
      </c>
      <c r="D160" s="68" t="s">
        <v>2222</v>
      </c>
      <c r="E160" s="68" t="str">
        <f t="shared" si="2"/>
        <v>Impacts of technology::3::Define ‘computer misuse’ and the associated offences</v>
      </c>
      <c r="F160" s="68">
        <v>4.0999999999999996</v>
      </c>
      <c r="G160" s="68" t="s">
        <v>1070</v>
      </c>
      <c r="H160" s="68" t="s">
        <v>89</v>
      </c>
    </row>
    <row r="161" spans="1:8" ht="13" x14ac:dyDescent="0.15">
      <c r="A161" s="68" t="s">
        <v>2056</v>
      </c>
      <c r="B161" s="68" t="s">
        <v>116</v>
      </c>
      <c r="C161" s="68">
        <v>3</v>
      </c>
      <c r="D161" s="68" t="s">
        <v>2223</v>
      </c>
      <c r="E161" s="68" t="str">
        <f t="shared" si="2"/>
        <v>Impacts of technology::3::Identify situations that would be classified as an offence under the Act</v>
      </c>
      <c r="F161" s="68">
        <v>4.0999999999999996</v>
      </c>
      <c r="G161" s="68" t="s">
        <v>22</v>
      </c>
      <c r="H161" s="68" t="s">
        <v>89</v>
      </c>
    </row>
    <row r="162" spans="1:8" ht="13" x14ac:dyDescent="0.15">
      <c r="A162" s="68" t="s">
        <v>2056</v>
      </c>
      <c r="B162" s="68" t="s">
        <v>116</v>
      </c>
      <c r="C162" s="68">
        <v>4</v>
      </c>
      <c r="D162" s="68" t="s">
        <v>2224</v>
      </c>
      <c r="E162" s="68" t="str">
        <f t="shared" si="2"/>
        <v>Impacts of technology::4::Define ‘downtime’ and explain the associated impact on an organisation</v>
      </c>
      <c r="F162" s="68">
        <v>4.0999999999999996</v>
      </c>
      <c r="G162" s="68" t="s">
        <v>1070</v>
      </c>
      <c r="H162" s="68" t="s">
        <v>89</v>
      </c>
    </row>
    <row r="163" spans="1:8" ht="13" x14ac:dyDescent="0.15">
      <c r="A163" s="68" t="s">
        <v>2056</v>
      </c>
      <c r="B163" s="68" t="s">
        <v>116</v>
      </c>
      <c r="C163" s="68">
        <v>4</v>
      </c>
      <c r="D163" s="68" t="s">
        <v>2225</v>
      </c>
      <c r="E163" s="68" t="str">
        <f t="shared" si="2"/>
        <v>Impacts of technology::4::Explain what is meant by the ‘digital divide’ and measures to mitigate its effect</v>
      </c>
      <c r="F163" s="68">
        <v>4.0999999999999996</v>
      </c>
      <c r="G163" s="68" t="s">
        <v>1164</v>
      </c>
      <c r="H163" s="68" t="s">
        <v>89</v>
      </c>
    </row>
    <row r="164" spans="1:8" ht="13" x14ac:dyDescent="0.15">
      <c r="A164" s="68" t="s">
        <v>2056</v>
      </c>
      <c r="B164" s="68" t="s">
        <v>116</v>
      </c>
      <c r="C164" s="68">
        <v>4</v>
      </c>
      <c r="D164" s="68" t="s">
        <v>2226</v>
      </c>
      <c r="E164" s="68" t="str">
        <f t="shared" si="2"/>
        <v>Impacts of technology::4::Identify positive and negative aspects of the use of mobile technology</v>
      </c>
      <c r="F164" s="68">
        <v>4.0999999999999996</v>
      </c>
      <c r="G164" s="68" t="s">
        <v>1164</v>
      </c>
      <c r="H164" s="68" t="s">
        <v>89</v>
      </c>
    </row>
    <row r="165" spans="1:8" ht="13" x14ac:dyDescent="0.15">
      <c r="A165" s="68" t="s">
        <v>2056</v>
      </c>
      <c r="B165" s="68" t="s">
        <v>116</v>
      </c>
      <c r="C165" s="68">
        <v>5</v>
      </c>
      <c r="D165" s="68" t="s">
        <v>2227</v>
      </c>
      <c r="E165" s="68" t="str">
        <f t="shared" si="2"/>
        <v>Impacts of technology::5::Identify the implications of having personal data online</v>
      </c>
      <c r="F165" s="68">
        <v>4.0999999999999996</v>
      </c>
      <c r="G165" s="68" t="s">
        <v>1436</v>
      </c>
      <c r="H165" s="68" t="s">
        <v>89</v>
      </c>
    </row>
    <row r="166" spans="1:8" ht="13" x14ac:dyDescent="0.15">
      <c r="A166" s="68" t="s">
        <v>2056</v>
      </c>
      <c r="B166" s="68" t="s">
        <v>116</v>
      </c>
      <c r="C166" s="68">
        <v>5</v>
      </c>
      <c r="D166" s="68" t="s">
        <v>2228</v>
      </c>
      <c r="E166" s="68" t="str">
        <f t="shared" si="2"/>
        <v>Impacts of technology::5::Explain the social and environmental impacts of social media</v>
      </c>
      <c r="F166" s="68">
        <v>4.0999999999999996</v>
      </c>
      <c r="G166" s="68" t="s">
        <v>1436</v>
      </c>
      <c r="H166" s="68" t="s">
        <v>89</v>
      </c>
    </row>
    <row r="167" spans="1:8" ht="13" x14ac:dyDescent="0.15">
      <c r="A167" s="68" t="s">
        <v>2056</v>
      </c>
      <c r="B167" s="68" t="s">
        <v>116</v>
      </c>
      <c r="C167" s="68">
        <v>5</v>
      </c>
      <c r="D167" s="68" t="s">
        <v>2229</v>
      </c>
      <c r="E167" s="68" t="str">
        <f t="shared" si="2"/>
        <v>Impacts of technology::5::Explain the positive and negative effects of online content</v>
      </c>
      <c r="F167" s="68">
        <v>4.0999999999999996</v>
      </c>
      <c r="G167" s="68" t="s">
        <v>1436</v>
      </c>
      <c r="H167" s="68" t="s">
        <v>89</v>
      </c>
    </row>
    <row r="168" spans="1:8" ht="13" x14ac:dyDescent="0.15">
      <c r="A168" s="68" t="s">
        <v>2056</v>
      </c>
      <c r="B168" s="68" t="s">
        <v>116</v>
      </c>
      <c r="C168" s="68">
        <v>6</v>
      </c>
      <c r="D168" s="68" t="s">
        <v>2230</v>
      </c>
      <c r="E168" s="68" t="str">
        <f t="shared" si="2"/>
        <v>Impacts of technology::6::Explain the environmental effects of the use of technology</v>
      </c>
      <c r="F168" s="68">
        <v>4.0999999999999996</v>
      </c>
      <c r="G168" s="68" t="s">
        <v>1070</v>
      </c>
      <c r="H168" s="68" t="s">
        <v>89</v>
      </c>
    </row>
    <row r="169" spans="1:8" ht="13" x14ac:dyDescent="0.15">
      <c r="A169" s="68" t="s">
        <v>2056</v>
      </c>
      <c r="B169" s="68" t="s">
        <v>116</v>
      </c>
      <c r="C169" s="68">
        <v>7</v>
      </c>
      <c r="D169" s="68" t="s">
        <v>2231</v>
      </c>
      <c r="E169" s="68" t="str">
        <f t="shared" si="2"/>
        <v>Impacts of technology::7::Explain the ethical issues surrounding the use of AI in society</v>
      </c>
      <c r="F169" s="68">
        <v>4.0999999999999996</v>
      </c>
      <c r="G169" s="68" t="s">
        <v>2232</v>
      </c>
      <c r="H169" s="68" t="s">
        <v>89</v>
      </c>
    </row>
    <row r="170" spans="1:8" ht="13" x14ac:dyDescent="0.15">
      <c r="A170" s="68" t="s">
        <v>2056</v>
      </c>
      <c r="B170" s="68" t="s">
        <v>116</v>
      </c>
      <c r="C170" s="68">
        <v>7</v>
      </c>
      <c r="D170" s="68" t="s">
        <v>2233</v>
      </c>
      <c r="E170" s="68" t="str">
        <f t="shared" si="2"/>
        <v>Impacts of technology::7::Explain the ethical impact of using algorithms to make decisions</v>
      </c>
      <c r="F170" s="68">
        <v>4.0999999999999996</v>
      </c>
      <c r="G170" s="68" t="s">
        <v>1132</v>
      </c>
      <c r="H170" s="68" t="s">
        <v>89</v>
      </c>
    </row>
    <row r="171" spans="1:8" ht="13" x14ac:dyDescent="0.15">
      <c r="A171" s="68" t="s">
        <v>2056</v>
      </c>
      <c r="B171" s="68" t="s">
        <v>116</v>
      </c>
      <c r="C171" s="68">
        <v>8</v>
      </c>
      <c r="D171" s="68" t="s">
        <v>2234</v>
      </c>
      <c r="E171" s="68" t="str">
        <f t="shared" si="2"/>
        <v>Impacts of technology::8::Demonstrate knowledge of the five impacts of technology</v>
      </c>
      <c r="F171" s="68">
        <v>4.0999999999999996</v>
      </c>
      <c r="G171" s="68" t="s">
        <v>22</v>
      </c>
      <c r="H171" s="68" t="s">
        <v>89</v>
      </c>
    </row>
    <row r="172" spans="1:8" ht="13" x14ac:dyDescent="0.15">
      <c r="A172" s="68" t="s">
        <v>2056</v>
      </c>
      <c r="B172" s="68" t="s">
        <v>8</v>
      </c>
      <c r="C172" s="68">
        <v>1</v>
      </c>
      <c r="D172" s="68" t="s">
        <v>2235</v>
      </c>
      <c r="E172" s="68" t="str">
        <f t="shared" si="2"/>
        <v>Networks::1::Define what networks are</v>
      </c>
      <c r="F172" s="68">
        <v>4.0999999999999996</v>
      </c>
      <c r="G172" s="68" t="s">
        <v>1256</v>
      </c>
      <c r="H172" s="68" t="s">
        <v>1087</v>
      </c>
    </row>
    <row r="173" spans="1:8" ht="13" x14ac:dyDescent="0.15">
      <c r="A173" s="68" t="s">
        <v>2056</v>
      </c>
      <c r="B173" s="68" t="s">
        <v>8</v>
      </c>
      <c r="C173" s="68">
        <v>1</v>
      </c>
      <c r="D173" s="68" t="s">
        <v>2236</v>
      </c>
      <c r="E173" s="68" t="str">
        <f t="shared" si="2"/>
        <v>Networks::1::Describe the hardware components required to build networks of devices</v>
      </c>
      <c r="F173" s="68">
        <v>4.0999999999999996</v>
      </c>
      <c r="G173" s="68" t="s">
        <v>1256</v>
      </c>
      <c r="H173" s="68" t="s">
        <v>1087</v>
      </c>
    </row>
    <row r="174" spans="1:8" ht="13" x14ac:dyDescent="0.15">
      <c r="A174" s="68" t="s">
        <v>2056</v>
      </c>
      <c r="B174" s="68" t="s">
        <v>8</v>
      </c>
      <c r="C174" s="68">
        <v>1</v>
      </c>
      <c r="D174" s="68" t="s">
        <v>2237</v>
      </c>
      <c r="E174" s="68" t="str">
        <f t="shared" si="2"/>
        <v>Networks::1::Analyse the benefits and problems associated with networks</v>
      </c>
      <c r="F174" s="68">
        <v>4.0999999999999996</v>
      </c>
      <c r="G174" s="68" t="s">
        <v>7</v>
      </c>
      <c r="H174" s="68" t="s">
        <v>1087</v>
      </c>
    </row>
    <row r="175" spans="1:8" ht="13" x14ac:dyDescent="0.15">
      <c r="A175" s="68" t="s">
        <v>2056</v>
      </c>
      <c r="B175" s="68" t="s">
        <v>8</v>
      </c>
      <c r="C175" s="68">
        <v>2</v>
      </c>
      <c r="D175" s="68" t="s">
        <v>2238</v>
      </c>
      <c r="E175" s="68" t="str">
        <f t="shared" si="2"/>
        <v>Networks::2::Explain how devices can be connected to a network either through a wired or wireless connection</v>
      </c>
      <c r="F175" s="68">
        <v>4.0999999999999996</v>
      </c>
      <c r="G175" s="68" t="s">
        <v>1256</v>
      </c>
      <c r="H175" s="68" t="s">
        <v>1087</v>
      </c>
    </row>
    <row r="176" spans="1:8" ht="13" x14ac:dyDescent="0.15">
      <c r="A176" s="68" t="s">
        <v>2056</v>
      </c>
      <c r="B176" s="68" t="s">
        <v>8</v>
      </c>
      <c r="C176" s="68">
        <v>2</v>
      </c>
      <c r="D176" s="68" t="s">
        <v>2239</v>
      </c>
      <c r="E176" s="68" t="str">
        <f t="shared" si="2"/>
        <v>Networks::2::Define MAC addresses and their use in networks</v>
      </c>
      <c r="F176" s="68">
        <v>4.0999999999999996</v>
      </c>
      <c r="G176" s="68" t="s">
        <v>7</v>
      </c>
      <c r="H176" s="68" t="s">
        <v>1087</v>
      </c>
    </row>
    <row r="177" spans="1:8" ht="13" x14ac:dyDescent="0.15">
      <c r="A177" s="68" t="s">
        <v>2056</v>
      </c>
      <c r="B177" s="68" t="s">
        <v>8</v>
      </c>
      <c r="C177" s="68">
        <v>2</v>
      </c>
      <c r="D177" s="68" t="s">
        <v>2240</v>
      </c>
      <c r="E177" s="68" t="str">
        <f t="shared" si="2"/>
        <v>Networks::2::Analyse specific examples including Ethernet and Wi-Fi</v>
      </c>
      <c r="F177" s="68">
        <v>4.0999999999999996</v>
      </c>
      <c r="G177" s="68" t="s">
        <v>7</v>
      </c>
      <c r="H177" s="68" t="s">
        <v>1087</v>
      </c>
    </row>
    <row r="178" spans="1:8" ht="13" x14ac:dyDescent="0.15">
      <c r="A178" s="68" t="s">
        <v>2056</v>
      </c>
      <c r="B178" s="68" t="s">
        <v>8</v>
      </c>
      <c r="C178" s="68">
        <v>2</v>
      </c>
      <c r="D178" s="68" t="s">
        <v>2241</v>
      </c>
      <c r="E178" s="68" t="str">
        <f t="shared" si="2"/>
        <v>Networks::2::Explain the importance of connectivity in modern computing systems</v>
      </c>
      <c r="F178" s="68">
        <v>4.0999999999999996</v>
      </c>
      <c r="G178" s="68" t="s">
        <v>7</v>
      </c>
      <c r="H178" s="68" t="s">
        <v>1087</v>
      </c>
    </row>
    <row r="179" spans="1:8" ht="13" x14ac:dyDescent="0.15">
      <c r="A179" s="68" t="s">
        <v>2056</v>
      </c>
      <c r="B179" s="68" t="s">
        <v>8</v>
      </c>
      <c r="C179" s="68">
        <v>3</v>
      </c>
      <c r="D179" s="68" t="s">
        <v>2242</v>
      </c>
      <c r="E179" s="68" t="str">
        <f t="shared" si="2"/>
        <v>Networks::3::List and describe the different types of networks depending on node distribution, including personal, local, and wide area networks</v>
      </c>
      <c r="F179" s="68">
        <v>4.0999999999999996</v>
      </c>
      <c r="G179" s="68" t="s">
        <v>7</v>
      </c>
      <c r="H179" s="68" t="s">
        <v>1087</v>
      </c>
    </row>
    <row r="180" spans="1:8" ht="13" x14ac:dyDescent="0.15">
      <c r="A180" s="68" t="s">
        <v>2056</v>
      </c>
      <c r="B180" s="68" t="s">
        <v>8</v>
      </c>
      <c r="C180" s="68">
        <v>3</v>
      </c>
      <c r="D180" s="68" t="s">
        <v>2243</v>
      </c>
      <c r="E180" s="68" t="str">
        <f t="shared" si="2"/>
        <v>Networks::3::List, describe, and compare the different types of networks depending on topology, such as ring, star, and bus</v>
      </c>
      <c r="F180" s="68">
        <v>4.0999999999999996</v>
      </c>
      <c r="G180" s="68" t="s">
        <v>7</v>
      </c>
      <c r="H180" s="68" t="s">
        <v>1087</v>
      </c>
    </row>
    <row r="181" spans="1:8" ht="13" x14ac:dyDescent="0.15">
      <c r="A181" s="68" t="s">
        <v>2056</v>
      </c>
      <c r="B181" s="68" t="s">
        <v>8</v>
      </c>
      <c r="C181" s="68">
        <v>4</v>
      </c>
      <c r="D181" s="68" t="s">
        <v>2244</v>
      </c>
      <c r="E181" s="68" t="str">
        <f t="shared" si="2"/>
        <v>Networks::4::List, describe, and compare the different types of communication models encountered in networks, such as server–client and peer-to-peer</v>
      </c>
      <c r="F181" s="68">
        <v>4.0999999999999996</v>
      </c>
      <c r="G181" s="68" t="s">
        <v>7</v>
      </c>
      <c r="H181" s="68" t="s">
        <v>1087</v>
      </c>
    </row>
    <row r="182" spans="1:8" ht="13" x14ac:dyDescent="0.15">
      <c r="A182" s="68" t="s">
        <v>2056</v>
      </c>
      <c r="B182" s="68" t="s">
        <v>8</v>
      </c>
      <c r="C182" s="68">
        <v>5</v>
      </c>
      <c r="D182" s="68" t="s">
        <v>2245</v>
      </c>
      <c r="E182" s="68" t="str">
        <f t="shared" si="2"/>
        <v>Networks::5::Define and describe the internet</v>
      </c>
      <c r="F182" s="68">
        <v>4.0999999999999996</v>
      </c>
      <c r="G182" s="68" t="s">
        <v>7</v>
      </c>
      <c r="H182" s="68" t="s">
        <v>1087</v>
      </c>
    </row>
    <row r="183" spans="1:8" ht="13" x14ac:dyDescent="0.15">
      <c r="A183" s="68" t="s">
        <v>2056</v>
      </c>
      <c r="B183" s="68" t="s">
        <v>8</v>
      </c>
      <c r="C183" s="68">
        <v>5</v>
      </c>
      <c r="D183" s="68" t="s">
        <v>2246</v>
      </c>
      <c r="E183" s="68" t="str">
        <f t="shared" si="2"/>
        <v>Networks::5::Define the WWW and describe its main components</v>
      </c>
      <c r="F183" s="68">
        <v>4.0999999999999996</v>
      </c>
      <c r="G183" s="68" t="s">
        <v>7</v>
      </c>
      <c r="H183" s="68" t="s">
        <v>1087</v>
      </c>
    </row>
    <row r="184" spans="1:8" ht="13" x14ac:dyDescent="0.15">
      <c r="A184" s="68" t="s">
        <v>2056</v>
      </c>
      <c r="B184" s="68" t="s">
        <v>8</v>
      </c>
      <c r="C184" s="68">
        <v>6</v>
      </c>
      <c r="D184" s="68" t="s">
        <v>2247</v>
      </c>
      <c r="E184" s="68" t="str">
        <f t="shared" si="2"/>
        <v>Networks::6::Define and explain the concept of a networking protocol</v>
      </c>
      <c r="F184" s="68">
        <v>4.0999999999999996</v>
      </c>
      <c r="G184" s="68" t="s">
        <v>7</v>
      </c>
      <c r="H184" s="68" t="s">
        <v>1087</v>
      </c>
    </row>
    <row r="185" spans="1:8" ht="13" x14ac:dyDescent="0.15">
      <c r="A185" s="68" t="s">
        <v>2056</v>
      </c>
      <c r="B185" s="68" t="s">
        <v>8</v>
      </c>
      <c r="C185" s="68">
        <v>6</v>
      </c>
      <c r="D185" s="68" t="s">
        <v>2248</v>
      </c>
      <c r="E185" s="68" t="str">
        <f t="shared" si="2"/>
        <v>Networks::6::List and explain standard internet protocols in the application layer, such as HTTP, HTTPS, FTP, DNS, SMTP, POP, and IMAP</v>
      </c>
      <c r="F185" s="68">
        <v>4.0999999999999996</v>
      </c>
      <c r="G185" s="68" t="s">
        <v>7</v>
      </c>
      <c r="H185" s="68" t="s">
        <v>1087</v>
      </c>
    </row>
    <row r="186" spans="1:8" ht="13" x14ac:dyDescent="0.15">
      <c r="A186" s="68" t="s">
        <v>2056</v>
      </c>
      <c r="B186" s="68" t="s">
        <v>8</v>
      </c>
      <c r="C186" s="68">
        <v>7</v>
      </c>
      <c r="D186" s="68" t="s">
        <v>2249</v>
      </c>
      <c r="E186" s="68" t="str">
        <f t="shared" si="2"/>
        <v>Networks::7::Explain and describe the advantages and disadvantages of circuit switching and packet switching</v>
      </c>
      <c r="F186" s="68">
        <v>4.0999999999999996</v>
      </c>
      <c r="G186" s="68" t="s">
        <v>7</v>
      </c>
      <c r="H186" s="68" t="s">
        <v>1087</v>
      </c>
    </row>
    <row r="187" spans="1:8" ht="13" x14ac:dyDescent="0.15">
      <c r="A187" s="68" t="s">
        <v>2056</v>
      </c>
      <c r="B187" s="68" t="s">
        <v>8</v>
      </c>
      <c r="C187" s="68">
        <v>7</v>
      </c>
      <c r="D187" s="68" t="s">
        <v>2250</v>
      </c>
      <c r="E187" s="68" t="str">
        <f t="shared" si="2"/>
        <v>Networks::7::List and explain the four different layers associated with the Internet Protocol: link, network/internet, transport, and application</v>
      </c>
      <c r="F187" s="68">
        <v>4.0999999999999996</v>
      </c>
      <c r="G187" s="68" t="s">
        <v>7</v>
      </c>
      <c r="H187" s="68" t="s">
        <v>1087</v>
      </c>
    </row>
    <row r="188" spans="1:8" ht="13" x14ac:dyDescent="0.15">
      <c r="A188" s="68" t="s">
        <v>2056</v>
      </c>
      <c r="B188" s="68" t="s">
        <v>8</v>
      </c>
      <c r="C188" s="68">
        <v>7</v>
      </c>
      <c r="D188" s="68" t="s">
        <v>2251</v>
      </c>
      <c r="E188" s="68" t="str">
        <f t="shared" si="2"/>
        <v>Networks::7::Explain the Internet Protocol in the internet layer</v>
      </c>
      <c r="F188" s="68">
        <v>4.0999999999999996</v>
      </c>
      <c r="G188" s="68" t="s">
        <v>7</v>
      </c>
      <c r="H188" s="68" t="s">
        <v>1087</v>
      </c>
    </row>
    <row r="189" spans="1:8" ht="13" x14ac:dyDescent="0.15">
      <c r="A189" s="68" t="s">
        <v>2056</v>
      </c>
      <c r="B189" s="68" t="s">
        <v>8</v>
      </c>
      <c r="C189" s="68">
        <v>7</v>
      </c>
      <c r="D189" s="68" t="s">
        <v>2252</v>
      </c>
      <c r="E189" s="68" t="str">
        <f t="shared" si="2"/>
        <v>Networks::7::List and explain standard internet protocols in the transport layer, such as TCP and UDP</v>
      </c>
      <c r="F189" s="68">
        <v>4.0999999999999996</v>
      </c>
      <c r="G189" s="68" t="s">
        <v>7</v>
      </c>
      <c r="H189" s="68" t="s">
        <v>1087</v>
      </c>
    </row>
    <row r="190" spans="1:8" ht="13" x14ac:dyDescent="0.15">
      <c r="A190" s="68" t="s">
        <v>2056</v>
      </c>
      <c r="B190" s="68" t="s">
        <v>8</v>
      </c>
      <c r="C190" s="68">
        <v>8</v>
      </c>
      <c r="D190" s="68" t="s">
        <v>2253</v>
      </c>
      <c r="E190" s="68" t="str">
        <f t="shared" si="2"/>
        <v>Networks::8::Describe how network data speeds are measured, and the factors affecting network performance</v>
      </c>
      <c r="F190" s="68">
        <v>4.0999999999999996</v>
      </c>
      <c r="G190" s="68" t="s">
        <v>7</v>
      </c>
      <c r="H190" s="68" t="s">
        <v>1087</v>
      </c>
    </row>
    <row r="191" spans="1:8" ht="13" x14ac:dyDescent="0.15">
      <c r="A191" s="68" t="s">
        <v>2056</v>
      </c>
      <c r="B191" s="68" t="s">
        <v>8</v>
      </c>
      <c r="C191" s="68">
        <v>8</v>
      </c>
      <c r="D191" s="68" t="s">
        <v>2254</v>
      </c>
      <c r="E191" s="68" t="str">
        <f t="shared" si="2"/>
        <v>Networks::8::Define what virtual networks are, and how they are used to maintain network performance</v>
      </c>
      <c r="F191" s="68">
        <v>4.0999999999999996</v>
      </c>
      <c r="G191" s="68" t="s">
        <v>7</v>
      </c>
      <c r="H191" s="68" t="s">
        <v>1087</v>
      </c>
    </row>
    <row r="192" spans="1:8" ht="13" x14ac:dyDescent="0.15">
      <c r="A192" s="68" t="s">
        <v>2056</v>
      </c>
      <c r="B192" s="68" t="s">
        <v>8</v>
      </c>
      <c r="C192" s="68">
        <v>8</v>
      </c>
      <c r="D192" s="68" t="s">
        <v>2255</v>
      </c>
      <c r="E192" s="68" t="str">
        <f t="shared" si="2"/>
        <v>Networks::8::Explain why networks are a target for criminals, and what some of the tools available to defend against attacks are</v>
      </c>
      <c r="F192" s="68">
        <v>4.0999999999999996</v>
      </c>
      <c r="G192" s="68" t="s">
        <v>1338</v>
      </c>
      <c r="H192" s="68" t="s">
        <v>1087</v>
      </c>
    </row>
    <row r="193" spans="1:8" ht="13" x14ac:dyDescent="0.15">
      <c r="A193" s="68" t="s">
        <v>2056</v>
      </c>
      <c r="B193" s="68" t="s">
        <v>2256</v>
      </c>
      <c r="C193" s="68">
        <v>1</v>
      </c>
      <c r="D193" s="68" t="s">
        <v>2257</v>
      </c>
      <c r="E193" s="68" t="str">
        <f t="shared" si="2"/>
        <v>Physical computing project::1::Define the term physical computing</v>
      </c>
      <c r="G193" s="68" t="s">
        <v>19</v>
      </c>
      <c r="H193" s="68" t="s">
        <v>1087</v>
      </c>
    </row>
    <row r="194" spans="1:8" ht="13" x14ac:dyDescent="0.15">
      <c r="A194" s="68" t="s">
        <v>2056</v>
      </c>
      <c r="B194" s="68" t="s">
        <v>2256</v>
      </c>
      <c r="C194" s="68">
        <v>1</v>
      </c>
      <c r="D194" s="68" t="s">
        <v>2258</v>
      </c>
      <c r="E194" s="68" t="str">
        <f t="shared" ref="E194:E257" si="3">B194&amp;"::"&amp;C194&amp;"::"&amp;D194</f>
        <v>Physical computing project::1::Explain the term embedded systems</v>
      </c>
      <c r="G194" s="68" t="s">
        <v>19</v>
      </c>
      <c r="H194" s="68" t="s">
        <v>1087</v>
      </c>
    </row>
    <row r="195" spans="1:8" ht="13" x14ac:dyDescent="0.15">
      <c r="A195" s="68" t="s">
        <v>2056</v>
      </c>
      <c r="B195" s="68" t="s">
        <v>2256</v>
      </c>
      <c r="C195" s="68">
        <v>1</v>
      </c>
      <c r="D195" s="68" t="s">
        <v>2259</v>
      </c>
      <c r="E195" s="68" t="str">
        <f t="shared" si="3"/>
        <v>Physical computing project::1::Create and test a working circuit</v>
      </c>
      <c r="G195" s="68" t="s">
        <v>16</v>
      </c>
      <c r="H195" s="68" t="s">
        <v>1087</v>
      </c>
    </row>
    <row r="196" spans="1:8" ht="13" x14ac:dyDescent="0.15">
      <c r="A196" s="68" t="s">
        <v>2056</v>
      </c>
      <c r="B196" s="68" t="s">
        <v>2256</v>
      </c>
      <c r="C196" s="68">
        <v>2</v>
      </c>
      <c r="D196" s="68" t="s">
        <v>2260</v>
      </c>
      <c r="E196" s="68" t="str">
        <f t="shared" si="3"/>
        <v>Physical computing project::2::Explore how to add functionality using a motor controller</v>
      </c>
      <c r="G196" s="68" t="s">
        <v>2261</v>
      </c>
      <c r="H196" s="68" t="s">
        <v>1087</v>
      </c>
    </row>
    <row r="197" spans="1:8" ht="13" x14ac:dyDescent="0.15">
      <c r="A197" s="68" t="s">
        <v>2056</v>
      </c>
      <c r="B197" s="68" t="s">
        <v>2256</v>
      </c>
      <c r="C197" s="68">
        <v>2</v>
      </c>
      <c r="D197" s="68" t="s">
        <v>2262</v>
      </c>
      <c r="E197" s="68" t="str">
        <f t="shared" si="3"/>
        <v>Physical computing project::2::Interact with real-world objects using code and additional hardware</v>
      </c>
      <c r="G197" s="68" t="s">
        <v>2261</v>
      </c>
      <c r="H197" s="68" t="s">
        <v>1087</v>
      </c>
    </row>
    <row r="198" spans="1:8" ht="13" x14ac:dyDescent="0.15">
      <c r="A198" s="68" t="s">
        <v>2056</v>
      </c>
      <c r="B198" s="68" t="s">
        <v>2256</v>
      </c>
      <c r="C198" s="68">
        <v>3</v>
      </c>
      <c r="D198" s="68" t="s">
        <v>2263</v>
      </c>
      <c r="E198" s="68" t="str">
        <f t="shared" si="3"/>
        <v>Physical computing project::3::Use basic materials and tools to create a prototype</v>
      </c>
      <c r="G198" s="68" t="s">
        <v>16</v>
      </c>
      <c r="H198" s="68" t="s">
        <v>1087</v>
      </c>
    </row>
    <row r="199" spans="1:8" ht="13" x14ac:dyDescent="0.15">
      <c r="A199" s="68" t="s">
        <v>2056</v>
      </c>
      <c r="B199" s="68" t="s">
        <v>2256</v>
      </c>
      <c r="C199" s="68">
        <v>4</v>
      </c>
      <c r="D199" s="68" t="s">
        <v>2264</v>
      </c>
      <c r="E199" s="68" t="str">
        <f t="shared" si="3"/>
        <v>Physical computing project::4::Understand how ultrasonic sound waves work</v>
      </c>
      <c r="G199" s="68" t="s">
        <v>2265</v>
      </c>
      <c r="H199" s="68" t="s">
        <v>1087</v>
      </c>
    </row>
    <row r="200" spans="1:8" ht="13" x14ac:dyDescent="0.15">
      <c r="A200" s="68" t="s">
        <v>2056</v>
      </c>
      <c r="B200" s="68" t="s">
        <v>2256</v>
      </c>
      <c r="C200" s="68">
        <v>4</v>
      </c>
      <c r="D200" s="68" t="s">
        <v>2266</v>
      </c>
      <c r="E200" s="68" t="str">
        <f t="shared" si="3"/>
        <v>Physical computing project::4::Combine inputs and outputs to solve a problem</v>
      </c>
      <c r="G200" s="68" t="s">
        <v>2267</v>
      </c>
      <c r="H200" s="68" t="s">
        <v>1087</v>
      </c>
    </row>
    <row r="201" spans="1:8" ht="13" x14ac:dyDescent="0.15">
      <c r="A201" s="68" t="s">
        <v>2056</v>
      </c>
      <c r="B201" s="68" t="s">
        <v>2256</v>
      </c>
      <c r="C201" s="68">
        <v>5</v>
      </c>
      <c r="D201" s="68" t="s">
        <v>2268</v>
      </c>
      <c r="E201" s="68" t="str">
        <f t="shared" si="3"/>
        <v>Physical computing project::5::Understand how reflective optical sensors work</v>
      </c>
      <c r="G201" s="68" t="s">
        <v>2269</v>
      </c>
      <c r="H201" s="68" t="s">
        <v>1087</v>
      </c>
    </row>
    <row r="202" spans="1:8" ht="13" x14ac:dyDescent="0.15">
      <c r="A202" s="68" t="s">
        <v>2056</v>
      </c>
      <c r="B202" s="68" t="s">
        <v>2256</v>
      </c>
      <c r="C202" s="68">
        <v>5</v>
      </c>
      <c r="D202" s="68" t="s">
        <v>2270</v>
      </c>
      <c r="E202" s="68" t="str">
        <f t="shared" si="3"/>
        <v>Physical computing project::5::Process input data to monitor and react to the environment</v>
      </c>
      <c r="G202" s="68" t="s">
        <v>2271</v>
      </c>
      <c r="H202" s="68" t="s">
        <v>1087</v>
      </c>
    </row>
    <row r="203" spans="1:8" ht="13" x14ac:dyDescent="0.15">
      <c r="A203" s="68" t="s">
        <v>2056</v>
      </c>
      <c r="B203" s="68" t="s">
        <v>2256</v>
      </c>
      <c r="C203" s="68">
        <v>6</v>
      </c>
      <c r="D203" s="68" t="s">
        <v>2272</v>
      </c>
      <c r="E203" s="68" t="str">
        <f t="shared" si="3"/>
        <v>Physical computing project::6::Synchronise the behaviour of physical hardware components for a given situation</v>
      </c>
      <c r="G203" s="68" t="s">
        <v>2273</v>
      </c>
      <c r="H203" s="68" t="s">
        <v>1087</v>
      </c>
    </row>
    <row r="204" spans="1:8" ht="13" x14ac:dyDescent="0.15">
      <c r="A204" s="68" t="s">
        <v>2056</v>
      </c>
      <c r="B204" s="68" t="s">
        <v>2274</v>
      </c>
      <c r="C204" s="68">
        <v>1</v>
      </c>
      <c r="D204" s="68" t="s">
        <v>2275</v>
      </c>
      <c r="E204" s="68" t="str">
        <f t="shared" si="3"/>
        <v>Programming part 1 - Sequence::1::Compare how humans and computers interpret instructions</v>
      </c>
      <c r="F204" s="68" t="s">
        <v>1944</v>
      </c>
      <c r="G204" s="68" t="s">
        <v>1876</v>
      </c>
      <c r="H204" s="68" t="s">
        <v>1087</v>
      </c>
    </row>
    <row r="205" spans="1:8" ht="13" x14ac:dyDescent="0.15">
      <c r="A205" s="68" t="s">
        <v>2056</v>
      </c>
      <c r="B205" s="68" t="s">
        <v>2274</v>
      </c>
      <c r="C205" s="68">
        <v>1</v>
      </c>
      <c r="D205" s="68" t="s">
        <v>2276</v>
      </c>
      <c r="E205" s="68" t="str">
        <f t="shared" si="3"/>
        <v>Programming part 1 - Sequence::1::Explain the differences between high- and low-level programming languages</v>
      </c>
      <c r="F205" s="68" t="s">
        <v>1944</v>
      </c>
      <c r="G205" s="68" t="s">
        <v>1487</v>
      </c>
      <c r="H205" s="68" t="s">
        <v>1087</v>
      </c>
    </row>
    <row r="206" spans="1:8" ht="13" x14ac:dyDescent="0.15">
      <c r="A206" s="68" t="s">
        <v>2056</v>
      </c>
      <c r="B206" s="68" t="s">
        <v>2274</v>
      </c>
      <c r="C206" s="68">
        <v>1</v>
      </c>
      <c r="D206" s="68" t="s">
        <v>2277</v>
      </c>
      <c r="E206" s="68" t="str">
        <f t="shared" si="3"/>
        <v>Programming part 1 - Sequence::1::Describe why translators are necessary</v>
      </c>
      <c r="F206" s="68" t="s">
        <v>1944</v>
      </c>
      <c r="G206" s="68" t="s">
        <v>1487</v>
      </c>
      <c r="H206" s="68" t="s">
        <v>1087</v>
      </c>
    </row>
    <row r="207" spans="1:8" ht="13" x14ac:dyDescent="0.15">
      <c r="A207" s="68" t="s">
        <v>2056</v>
      </c>
      <c r="B207" s="68" t="s">
        <v>2274</v>
      </c>
      <c r="C207" s="68">
        <v>1</v>
      </c>
      <c r="D207" s="68" t="s">
        <v>2278</v>
      </c>
      <c r="E207" s="68" t="str">
        <f t="shared" si="3"/>
        <v>Programming part 1 - Sequence::1::List the differences, benefits and drawbacks of using a compiler or an interpreter</v>
      </c>
      <c r="F207" s="68" t="s">
        <v>1944</v>
      </c>
      <c r="G207" s="68" t="s">
        <v>1487</v>
      </c>
      <c r="H207" s="68" t="s">
        <v>1087</v>
      </c>
    </row>
    <row r="208" spans="1:8" ht="13" x14ac:dyDescent="0.15">
      <c r="A208" s="68" t="s">
        <v>2056</v>
      </c>
      <c r="B208" s="68" t="s">
        <v>2274</v>
      </c>
      <c r="C208" s="68">
        <v>2</v>
      </c>
      <c r="D208" s="68" t="s">
        <v>2279</v>
      </c>
      <c r="E208" s="68" t="str">
        <f t="shared" si="3"/>
        <v>Programming part 1 - Sequence::2::Use subroutines in programs</v>
      </c>
      <c r="F208" s="68" t="s">
        <v>1944</v>
      </c>
      <c r="G208" s="68" t="s">
        <v>1225</v>
      </c>
      <c r="H208" s="68" t="s">
        <v>1087</v>
      </c>
    </row>
    <row r="209" spans="1:8" ht="13" x14ac:dyDescent="0.15">
      <c r="A209" s="68" t="s">
        <v>2056</v>
      </c>
      <c r="B209" s="68" t="s">
        <v>2274</v>
      </c>
      <c r="C209" s="68">
        <v>2</v>
      </c>
      <c r="D209" s="68" t="s">
        <v>2280</v>
      </c>
      <c r="E209" s="68" t="str">
        <f t="shared" si="3"/>
        <v>Programming part 1 - Sequence::2::Define a sequence as instructions performed in order, with each executed in turn</v>
      </c>
      <c r="F209" s="68" t="s">
        <v>1944</v>
      </c>
      <c r="G209" s="68" t="s">
        <v>1225</v>
      </c>
      <c r="H209" s="68" t="s">
        <v>1087</v>
      </c>
    </row>
    <row r="210" spans="1:8" ht="13" x14ac:dyDescent="0.15">
      <c r="A210" s="68" t="s">
        <v>2056</v>
      </c>
      <c r="B210" s="68" t="s">
        <v>2274</v>
      </c>
      <c r="C210" s="68">
        <v>2</v>
      </c>
      <c r="D210" s="68" t="s">
        <v>2281</v>
      </c>
      <c r="E210" s="68" t="str">
        <f t="shared" si="3"/>
        <v>Programming part 1 - Sequence::2::Predict the outcome of a sequence and modify it</v>
      </c>
      <c r="F210" s="68" t="s">
        <v>1944</v>
      </c>
      <c r="G210" s="68" t="s">
        <v>1225</v>
      </c>
      <c r="H210" s="68" t="s">
        <v>1087</v>
      </c>
    </row>
    <row r="211" spans="1:8" ht="13" x14ac:dyDescent="0.15">
      <c r="A211" s="68" t="s">
        <v>2056</v>
      </c>
      <c r="B211" s="68" t="s">
        <v>2274</v>
      </c>
      <c r="C211" s="68">
        <v>2</v>
      </c>
      <c r="D211" s="68" t="s">
        <v>2282</v>
      </c>
      <c r="E211" s="68" t="str">
        <f t="shared" si="3"/>
        <v>Programming part 1 - Sequence::2::Interpret error messages and define error types and identify them in programs (logic, syntax)</v>
      </c>
      <c r="F211" s="68" t="s">
        <v>1944</v>
      </c>
      <c r="G211" s="68" t="s">
        <v>1225</v>
      </c>
      <c r="H211" s="68" t="s">
        <v>1087</v>
      </c>
    </row>
    <row r="212" spans="1:8" ht="13" x14ac:dyDescent="0.15">
      <c r="A212" s="68" t="s">
        <v>2056</v>
      </c>
      <c r="B212" s="68" t="s">
        <v>2274</v>
      </c>
      <c r="C212" s="68">
        <v>2</v>
      </c>
      <c r="D212" s="68" t="s">
        <v>2283</v>
      </c>
      <c r="E212" s="68" t="str">
        <f t="shared" si="3"/>
        <v>Programming part 1 - Sequence::2::Describe the tools an IDE provides (editors, error diagnostics, run-time environment, translators)</v>
      </c>
      <c r="F212" s="68" t="s">
        <v>1944</v>
      </c>
      <c r="G212" s="68" t="s">
        <v>1309</v>
      </c>
      <c r="H212" s="68" t="s">
        <v>1087</v>
      </c>
    </row>
    <row r="213" spans="1:8" ht="13" x14ac:dyDescent="0.15">
      <c r="A213" s="68" t="s">
        <v>2056</v>
      </c>
      <c r="B213" s="68" t="s">
        <v>2274</v>
      </c>
      <c r="C213" s="68">
        <v>3</v>
      </c>
      <c r="D213" s="68" t="s">
        <v>2284</v>
      </c>
      <c r="E213" s="68" t="str">
        <f t="shared" si="3"/>
        <v>Programming part 1 - Sequence::3::Use meaningful identifiers</v>
      </c>
      <c r="F213" s="68" t="s">
        <v>1944</v>
      </c>
      <c r="G213" s="68" t="s">
        <v>28</v>
      </c>
      <c r="H213" s="68" t="s">
        <v>1087</v>
      </c>
    </row>
    <row r="214" spans="1:8" ht="13" x14ac:dyDescent="0.15">
      <c r="A214" s="68" t="s">
        <v>2056</v>
      </c>
      <c r="B214" s="68" t="s">
        <v>2274</v>
      </c>
      <c r="C214" s="68">
        <v>3</v>
      </c>
      <c r="D214" s="68" t="s">
        <v>2285</v>
      </c>
      <c r="E214" s="68" t="str">
        <f t="shared" si="3"/>
        <v>Programming part 1 - Sequence::3::Determine the need for variables</v>
      </c>
      <c r="F214" s="68" t="s">
        <v>1944</v>
      </c>
      <c r="G214" s="68" t="s">
        <v>1225</v>
      </c>
      <c r="H214" s="68" t="s">
        <v>1087</v>
      </c>
    </row>
    <row r="215" spans="1:8" ht="13" x14ac:dyDescent="0.15">
      <c r="A215" s="68" t="s">
        <v>2056</v>
      </c>
      <c r="B215" s="68" t="s">
        <v>2274</v>
      </c>
      <c r="C215" s="68">
        <v>3</v>
      </c>
      <c r="D215" s="68" t="s">
        <v>2286</v>
      </c>
      <c r="E215" s="68" t="str">
        <f t="shared" si="3"/>
        <v>Programming part 1 - Sequence::3::Distinguish between declaration, initialisation and assignment of variables</v>
      </c>
      <c r="F215" s="68" t="s">
        <v>1944</v>
      </c>
      <c r="G215" s="68" t="s">
        <v>28</v>
      </c>
      <c r="H215" s="68" t="s">
        <v>1087</v>
      </c>
    </row>
    <row r="216" spans="1:8" ht="13" x14ac:dyDescent="0.15">
      <c r="A216" s="68" t="s">
        <v>2056</v>
      </c>
      <c r="B216" s="68" t="s">
        <v>2274</v>
      </c>
      <c r="C216" s="68">
        <v>3</v>
      </c>
      <c r="D216" s="68" t="s">
        <v>2287</v>
      </c>
      <c r="E216" s="68" t="str">
        <f t="shared" si="3"/>
        <v>Programming part 1 - Sequence::3::Demonstrate appropriate use of naming conventions</v>
      </c>
      <c r="F216" s="68" t="s">
        <v>1944</v>
      </c>
      <c r="G216" s="68" t="s">
        <v>28</v>
      </c>
      <c r="H216" s="68" t="s">
        <v>1087</v>
      </c>
    </row>
    <row r="217" spans="1:8" ht="13" x14ac:dyDescent="0.15">
      <c r="A217" s="68" t="s">
        <v>2056</v>
      </c>
      <c r="B217" s="68" t="s">
        <v>2274</v>
      </c>
      <c r="C217" s="68">
        <v>3</v>
      </c>
      <c r="D217" s="68" t="s">
        <v>2288</v>
      </c>
      <c r="E217" s="68" t="str">
        <f t="shared" si="3"/>
        <v>Programming part 1 - Sequence::3::Output data (e.g. print (my_var))</v>
      </c>
      <c r="F217" s="68" t="s">
        <v>1944</v>
      </c>
      <c r="G217" s="68" t="s">
        <v>28</v>
      </c>
      <c r="H217" s="68" t="s">
        <v>1087</v>
      </c>
    </row>
    <row r="218" spans="1:8" ht="13" x14ac:dyDescent="0.15">
      <c r="A218" s="68" t="s">
        <v>2056</v>
      </c>
      <c r="B218" s="68" t="s">
        <v>2274</v>
      </c>
      <c r="C218" s="68">
        <v>4</v>
      </c>
      <c r="D218" s="68" t="s">
        <v>2289</v>
      </c>
      <c r="E218" s="68" t="str">
        <f t="shared" si="3"/>
        <v>Programming part 1 - Sequence::4::Obtain input from the keyboard in a program</v>
      </c>
      <c r="F218" s="68" t="s">
        <v>1944</v>
      </c>
      <c r="G218" s="68" t="s">
        <v>28</v>
      </c>
      <c r="H218" s="68" t="s">
        <v>1087</v>
      </c>
    </row>
    <row r="219" spans="1:8" ht="13" x14ac:dyDescent="0.15">
      <c r="A219" s="68" t="s">
        <v>2056</v>
      </c>
      <c r="B219" s="68" t="s">
        <v>2274</v>
      </c>
      <c r="C219" s="68">
        <v>4</v>
      </c>
      <c r="D219" s="68" t="s">
        <v>2290</v>
      </c>
      <c r="E219" s="68" t="str">
        <f t="shared" si="3"/>
        <v>Programming part 1 - Sequence::4::Differentiate between the data types; integer, real, Boolean, character, string</v>
      </c>
      <c r="F219" s="68" t="s">
        <v>1944</v>
      </c>
      <c r="G219" s="68" t="s">
        <v>1895</v>
      </c>
      <c r="H219" s="68" t="s">
        <v>1087</v>
      </c>
    </row>
    <row r="220" spans="1:8" ht="13" x14ac:dyDescent="0.15">
      <c r="A220" s="68" t="s">
        <v>2056</v>
      </c>
      <c r="B220" s="68" t="s">
        <v>2274</v>
      </c>
      <c r="C220" s="68">
        <v>4</v>
      </c>
      <c r="D220" s="68" t="s">
        <v>2291</v>
      </c>
      <c r="E220" s="68" t="str">
        <f t="shared" si="3"/>
        <v>Programming part 1 - Sequence::4::Cast variables by calling a function that will return a new value of the desired data type</v>
      </c>
      <c r="F220" s="68" t="s">
        <v>1944</v>
      </c>
      <c r="G220" s="68" t="s">
        <v>1895</v>
      </c>
      <c r="H220" s="68" t="s">
        <v>1087</v>
      </c>
    </row>
    <row r="221" spans="1:8" ht="13" x14ac:dyDescent="0.15">
      <c r="A221" s="68" t="s">
        <v>2056</v>
      </c>
      <c r="B221" s="68" t="s">
        <v>2274</v>
      </c>
      <c r="C221" s="68">
        <v>4</v>
      </c>
      <c r="D221" s="68" t="s">
        <v>2292</v>
      </c>
      <c r="E221" s="68" t="str">
        <f t="shared" si="3"/>
        <v>Programming part 1 - Sequence::4::Define runtime errors in programs</v>
      </c>
      <c r="F221" s="68" t="s">
        <v>1944</v>
      </c>
      <c r="G221" s="68" t="s">
        <v>1225</v>
      </c>
      <c r="H221" s="68" t="s">
        <v>1087</v>
      </c>
    </row>
    <row r="222" spans="1:8" ht="13" x14ac:dyDescent="0.15">
      <c r="A222" s="68" t="s">
        <v>2056</v>
      </c>
      <c r="B222" s="68" t="s">
        <v>2274</v>
      </c>
      <c r="C222" s="68">
        <v>4</v>
      </c>
      <c r="D222" s="68" t="s">
        <v>2293</v>
      </c>
      <c r="E222" s="68" t="str">
        <f t="shared" si="3"/>
        <v>Programming part 1 - Sequence::4::Define validation checks</v>
      </c>
      <c r="F222" s="68" t="s">
        <v>1944</v>
      </c>
      <c r="G222" s="68" t="s">
        <v>1225</v>
      </c>
      <c r="H222" s="68" t="s">
        <v>1087</v>
      </c>
    </row>
    <row r="223" spans="1:8" ht="13" x14ac:dyDescent="0.15">
      <c r="A223" s="68" t="s">
        <v>2056</v>
      </c>
      <c r="B223" s="68" t="s">
        <v>2274</v>
      </c>
      <c r="C223" s="68">
        <v>5</v>
      </c>
      <c r="D223" s="68" t="s">
        <v>2294</v>
      </c>
      <c r="E223" s="68" t="str">
        <f t="shared" si="3"/>
        <v>Programming part 1 - Sequence::5::Identify flowchart symbols and describe how to use them (start, end, input, output, subroutine)</v>
      </c>
      <c r="F223" s="68" t="s">
        <v>1944</v>
      </c>
      <c r="G223" s="68" t="s">
        <v>1225</v>
      </c>
      <c r="H223" s="68" t="s">
        <v>1087</v>
      </c>
    </row>
    <row r="224" spans="1:8" ht="13" x14ac:dyDescent="0.15">
      <c r="A224" s="68" t="s">
        <v>2056</v>
      </c>
      <c r="B224" s="68" t="s">
        <v>2274</v>
      </c>
      <c r="C224" s="68">
        <v>5</v>
      </c>
      <c r="D224" s="68" t="s">
        <v>2295</v>
      </c>
      <c r="E224" s="68" t="str">
        <f t="shared" si="3"/>
        <v>Programming part 1 - Sequence::5::Translate a flowchart into a program sequence</v>
      </c>
      <c r="F224" s="68" t="s">
        <v>1944</v>
      </c>
      <c r="G224" s="68" t="s">
        <v>1225</v>
      </c>
      <c r="H224" s="68" t="s">
        <v>1087</v>
      </c>
    </row>
    <row r="225" spans="1:8" ht="13" x14ac:dyDescent="0.15">
      <c r="A225" s="68" t="s">
        <v>2056</v>
      </c>
      <c r="B225" s="68" t="s">
        <v>2274</v>
      </c>
      <c r="C225" s="68">
        <v>5</v>
      </c>
      <c r="D225" s="68" t="s">
        <v>2296</v>
      </c>
      <c r="E225" s="68" t="str">
        <f t="shared" si="3"/>
        <v>Programming part 1 - Sequence::5::Design a flowchart for a program</v>
      </c>
      <c r="F225" s="68" t="s">
        <v>1944</v>
      </c>
      <c r="G225" s="68" t="s">
        <v>1157</v>
      </c>
      <c r="H225" s="68" t="s">
        <v>1087</v>
      </c>
    </row>
    <row r="226" spans="1:8" ht="13" x14ac:dyDescent="0.15">
      <c r="A226" s="68" t="s">
        <v>2056</v>
      </c>
      <c r="B226" s="68" t="s">
        <v>2297</v>
      </c>
      <c r="C226" s="68">
        <v>6</v>
      </c>
      <c r="D226" s="68" t="s">
        <v>2298</v>
      </c>
      <c r="E226" s="68" t="str">
        <f t="shared" si="3"/>
        <v>Programming part 2 - Selection::6::Be able to locate information using the language documentation</v>
      </c>
      <c r="F226" s="68" t="s">
        <v>1944</v>
      </c>
      <c r="G226" s="68" t="s">
        <v>1309</v>
      </c>
      <c r="H226" s="68" t="s">
        <v>1087</v>
      </c>
    </row>
    <row r="227" spans="1:8" ht="13" x14ac:dyDescent="0.15">
      <c r="A227" s="68" t="s">
        <v>2056</v>
      </c>
      <c r="B227" s="68" t="s">
        <v>2297</v>
      </c>
      <c r="C227" s="68">
        <v>6</v>
      </c>
      <c r="D227" s="68" t="s">
        <v>2299</v>
      </c>
      <c r="E227" s="68" t="str">
        <f t="shared" si="3"/>
        <v>Programming part 2 - Selection::6::Import modules into your code</v>
      </c>
      <c r="F227" s="68" t="s">
        <v>1944</v>
      </c>
      <c r="G227" s="68" t="s">
        <v>28</v>
      </c>
      <c r="H227" s="68" t="s">
        <v>1087</v>
      </c>
    </row>
    <row r="228" spans="1:8" ht="13" x14ac:dyDescent="0.15">
      <c r="A228" s="68" t="s">
        <v>2056</v>
      </c>
      <c r="B228" s="68" t="s">
        <v>2297</v>
      </c>
      <c r="C228" s="68">
        <v>6</v>
      </c>
      <c r="D228" s="68" t="s">
        <v>2300</v>
      </c>
      <c r="E228" s="68" t="str">
        <f t="shared" si="3"/>
        <v>Programming part 2 - Selection::6::Demonstrate how to generate random numbers</v>
      </c>
      <c r="F228" s="68" t="s">
        <v>1944</v>
      </c>
      <c r="G228" s="68" t="s">
        <v>28</v>
      </c>
      <c r="H228" s="68" t="s">
        <v>1087</v>
      </c>
    </row>
    <row r="229" spans="1:8" ht="13" x14ac:dyDescent="0.15">
      <c r="A229" s="68" t="s">
        <v>2056</v>
      </c>
      <c r="B229" s="68" t="s">
        <v>2297</v>
      </c>
      <c r="C229" s="68">
        <v>7</v>
      </c>
      <c r="D229" s="68" t="s">
        <v>2301</v>
      </c>
      <c r="E229" s="68" t="str">
        <f t="shared" si="3"/>
        <v>Programming part 2 - Selection::7::Evaluate arithmetic expressions using rules of operator precedence (BIDMAS)</v>
      </c>
      <c r="F229" s="68" t="s">
        <v>1944</v>
      </c>
      <c r="G229" s="68" t="s">
        <v>28</v>
      </c>
      <c r="H229" s="68" t="s">
        <v>1087</v>
      </c>
    </row>
    <row r="230" spans="1:8" ht="13" x14ac:dyDescent="0.15">
      <c r="A230" s="68" t="s">
        <v>2056</v>
      </c>
      <c r="B230" s="68" t="s">
        <v>2297</v>
      </c>
      <c r="C230" s="68">
        <v>7</v>
      </c>
      <c r="D230" s="68" t="s">
        <v>2302</v>
      </c>
      <c r="E230" s="68" t="str">
        <f t="shared" si="3"/>
        <v>Programming part 2 - Selection::7::Write and use expressions that use arithmetic operators (add, subtract, multiply, real division, integer division, MOD, to the power)</v>
      </c>
      <c r="F230" s="68" t="s">
        <v>1944</v>
      </c>
      <c r="G230" s="68" t="s">
        <v>28</v>
      </c>
      <c r="H230" s="68" t="s">
        <v>1087</v>
      </c>
    </row>
    <row r="231" spans="1:8" ht="13" x14ac:dyDescent="0.15">
      <c r="A231" s="68" t="s">
        <v>2056</v>
      </c>
      <c r="B231" s="68" t="s">
        <v>2297</v>
      </c>
      <c r="C231" s="68">
        <v>7</v>
      </c>
      <c r="D231" s="68" t="s">
        <v>2303</v>
      </c>
      <c r="E231" s="68" t="str">
        <f t="shared" si="3"/>
        <v>Programming part 2 - Selection::7::Assign expressions to variables</v>
      </c>
      <c r="F231" s="68" t="s">
        <v>1944</v>
      </c>
      <c r="G231" s="68" t="s">
        <v>28</v>
      </c>
      <c r="H231" s="68" t="s">
        <v>1087</v>
      </c>
    </row>
    <row r="232" spans="1:8" ht="13" x14ac:dyDescent="0.15">
      <c r="A232" s="68" t="s">
        <v>2056</v>
      </c>
      <c r="B232" s="68" t="s">
        <v>2297</v>
      </c>
      <c r="C232" s="68">
        <v>8</v>
      </c>
      <c r="D232" s="68" t="s">
        <v>2304</v>
      </c>
      <c r="E232" s="68" t="str">
        <f t="shared" si="3"/>
        <v xml:space="preserve">Programming part 2 - Selection::8::Define a condition as an expression that can be evaluated to either True or </v>
      </c>
      <c r="F232" s="68" t="s">
        <v>1944</v>
      </c>
      <c r="G232" s="68" t="s">
        <v>28</v>
      </c>
      <c r="H232" s="68" t="s">
        <v>1087</v>
      </c>
    </row>
    <row r="233" spans="1:8" ht="13" x14ac:dyDescent="0.15">
      <c r="A233" s="68" t="s">
        <v>2056</v>
      </c>
      <c r="B233" s="68" t="s">
        <v>2297</v>
      </c>
      <c r="C233" s="68">
        <v>8</v>
      </c>
      <c r="D233" s="68" t="s">
        <v>2305</v>
      </c>
      <c r="E233" s="68" t="str">
        <f t="shared" si="3"/>
        <v>Programming part 2 - Selection::8::Identify flowchart symbols and describe how to use them (decision)</v>
      </c>
      <c r="F233" s="68" t="s">
        <v>1944</v>
      </c>
      <c r="G233" s="68" t="s">
        <v>1225</v>
      </c>
      <c r="H233" s="68" t="s">
        <v>1087</v>
      </c>
    </row>
    <row r="234" spans="1:8" ht="13" x14ac:dyDescent="0.15">
      <c r="A234" s="68" t="s">
        <v>2056</v>
      </c>
      <c r="B234" s="68" t="s">
        <v>2297</v>
      </c>
      <c r="C234" s="68">
        <v>8</v>
      </c>
      <c r="D234" s="68" t="s">
        <v>2306</v>
      </c>
      <c r="E234" s="68" t="str">
        <f t="shared" si="3"/>
        <v>Programming part 2 - Selection::8::Identify that selection uses conditions to control the flow of execution</v>
      </c>
      <c r="F234" s="68" t="s">
        <v>1944</v>
      </c>
      <c r="G234" s="68" t="s">
        <v>1225</v>
      </c>
      <c r="H234" s="68" t="s">
        <v>1087</v>
      </c>
    </row>
    <row r="235" spans="1:8" ht="13" x14ac:dyDescent="0.15">
      <c r="A235" s="68" t="s">
        <v>2056</v>
      </c>
      <c r="B235" s="68" t="s">
        <v>2297</v>
      </c>
      <c r="C235" s="68">
        <v>8</v>
      </c>
      <c r="D235" s="68" t="s">
        <v>2307</v>
      </c>
      <c r="E235" s="68" t="str">
        <f t="shared" si="3"/>
        <v>Programming part 2 - Selection::8::Walkthrough code that includes selection (if, elif, else)</v>
      </c>
      <c r="F235" s="68" t="s">
        <v>1944</v>
      </c>
      <c r="G235" s="68" t="s">
        <v>1225</v>
      </c>
      <c r="H235" s="68" t="s">
        <v>1087</v>
      </c>
    </row>
    <row r="236" spans="1:8" ht="13" x14ac:dyDescent="0.15">
      <c r="A236" s="68" t="s">
        <v>2056</v>
      </c>
      <c r="B236" s="68" t="s">
        <v>2297</v>
      </c>
      <c r="C236" s="68">
        <v>9</v>
      </c>
      <c r="D236" s="68" t="s">
        <v>2308</v>
      </c>
      <c r="E236" s="68" t="str">
        <f t="shared" si="3"/>
        <v>Programming part 2 - Selection::9::Use selection statements in a program</v>
      </c>
      <c r="F236" s="68" t="s">
        <v>1944</v>
      </c>
      <c r="G236" s="68" t="s">
        <v>28</v>
      </c>
      <c r="H236" s="68" t="s">
        <v>1087</v>
      </c>
    </row>
    <row r="237" spans="1:8" ht="13" x14ac:dyDescent="0.15">
      <c r="A237" s="68" t="s">
        <v>2056</v>
      </c>
      <c r="B237" s="68" t="s">
        <v>2297</v>
      </c>
      <c r="C237" s="68">
        <v>9</v>
      </c>
      <c r="D237" s="68" t="s">
        <v>2309</v>
      </c>
      <c r="E237" s="68" t="str">
        <f t="shared" si="3"/>
        <v>Programming part 2 - Selection::9::Identify when selection statements should be used in programs</v>
      </c>
      <c r="F237" s="68" t="s">
        <v>1944</v>
      </c>
      <c r="G237" s="68" t="s">
        <v>1225</v>
      </c>
      <c r="H237" s="68" t="s">
        <v>1087</v>
      </c>
    </row>
    <row r="238" spans="1:8" ht="13" x14ac:dyDescent="0.15">
      <c r="A238" s="68" t="s">
        <v>2056</v>
      </c>
      <c r="B238" s="68" t="s">
        <v>2297</v>
      </c>
      <c r="C238" s="68">
        <v>9</v>
      </c>
      <c r="D238" s="68" t="s">
        <v>2310</v>
      </c>
      <c r="E238" s="68" t="str">
        <f t="shared" si="3"/>
        <v>Programming part 2 - Selection::9::Write and use expressions that use comparison operators (equal to, not equal to, less than, greater than, less than or equal to, greater than or equal to)</v>
      </c>
      <c r="F238" s="68" t="s">
        <v>1944</v>
      </c>
      <c r="G238" s="68" t="s">
        <v>28</v>
      </c>
      <c r="H238" s="68" t="s">
        <v>1087</v>
      </c>
    </row>
    <row r="239" spans="1:8" ht="13" x14ac:dyDescent="0.15">
      <c r="A239" s="68" t="s">
        <v>2056</v>
      </c>
      <c r="B239" s="68" t="s">
        <v>2297</v>
      </c>
      <c r="C239" s="68">
        <v>10</v>
      </c>
      <c r="D239" s="68" t="s">
        <v>2311</v>
      </c>
      <c r="E239" s="68" t="str">
        <f t="shared" si="3"/>
        <v>Programming part 2 - Selection::10::Describe how Boolean/logical operators can be used in expressions</v>
      </c>
      <c r="F239" s="68" t="s">
        <v>1944</v>
      </c>
      <c r="G239" s="68" t="s">
        <v>28</v>
      </c>
      <c r="H239" s="68" t="s">
        <v>1087</v>
      </c>
    </row>
    <row r="240" spans="1:8" ht="13" x14ac:dyDescent="0.15">
      <c r="A240" s="68" t="s">
        <v>2056</v>
      </c>
      <c r="B240" s="68" t="s">
        <v>2297</v>
      </c>
      <c r="C240" s="68">
        <v>10</v>
      </c>
      <c r="D240" s="68" t="s">
        <v>2312</v>
      </c>
      <c r="E240" s="68" t="str">
        <f t="shared" si="3"/>
        <v>Programming part 2 - Selection::10::Walkthrough code that use conditions with Boolean/logical operators (AND, OR)</v>
      </c>
      <c r="F240" s="68" t="s">
        <v>1944</v>
      </c>
      <c r="G240" s="68" t="s">
        <v>1225</v>
      </c>
      <c r="H240" s="68" t="s">
        <v>1087</v>
      </c>
    </row>
    <row r="241" spans="1:8" ht="13" x14ac:dyDescent="0.15">
      <c r="A241" s="68" t="s">
        <v>2056</v>
      </c>
      <c r="B241" s="68" t="s">
        <v>2297</v>
      </c>
      <c r="C241" s="68">
        <v>10</v>
      </c>
      <c r="D241" s="68" t="s">
        <v>2313</v>
      </c>
      <c r="E241" s="68" t="str">
        <f t="shared" si="3"/>
        <v>Programming part 2 - Selection::10::Write and use expressions that use Boolean/logical operators (AND, OR)</v>
      </c>
      <c r="F241" s="68" t="s">
        <v>1944</v>
      </c>
      <c r="G241" s="68" t="s">
        <v>28</v>
      </c>
      <c r="H241" s="68" t="s">
        <v>1087</v>
      </c>
    </row>
    <row r="242" spans="1:8" ht="13" x14ac:dyDescent="0.15">
      <c r="A242" s="68" t="s">
        <v>2056</v>
      </c>
      <c r="B242" s="68" t="s">
        <v>2297</v>
      </c>
      <c r="C242" s="68">
        <v>11</v>
      </c>
      <c r="D242" s="68" t="s">
        <v>2314</v>
      </c>
      <c r="E242" s="68" t="str">
        <f t="shared" si="3"/>
        <v>Programming part 2 - Selection::11::Define nested selection</v>
      </c>
      <c r="F242" s="68" t="s">
        <v>1944</v>
      </c>
      <c r="G242" s="68" t="s">
        <v>28</v>
      </c>
      <c r="H242" s="68" t="s">
        <v>1087</v>
      </c>
    </row>
    <row r="243" spans="1:8" ht="13" x14ac:dyDescent="0.15">
      <c r="A243" s="68" t="s">
        <v>2056</v>
      </c>
      <c r="B243" s="68" t="s">
        <v>2297</v>
      </c>
      <c r="C243" s="68">
        <v>11</v>
      </c>
      <c r="D243" s="68" t="s">
        <v>2315</v>
      </c>
      <c r="E243" s="68" t="str">
        <f t="shared" si="3"/>
        <v>Programming part 2 - Selection::11::Walk through code that uses nested selection</v>
      </c>
      <c r="F243" s="68" t="s">
        <v>1944</v>
      </c>
      <c r="G243" s="68" t="s">
        <v>1225</v>
      </c>
      <c r="H243" s="68" t="s">
        <v>1087</v>
      </c>
    </row>
    <row r="244" spans="1:8" ht="13" x14ac:dyDescent="0.15">
      <c r="A244" s="68" t="s">
        <v>2056</v>
      </c>
      <c r="B244" s="68" t="s">
        <v>2297</v>
      </c>
      <c r="C244" s="68">
        <v>11</v>
      </c>
      <c r="D244" s="68" t="s">
        <v>2316</v>
      </c>
      <c r="E244" s="68" t="str">
        <f t="shared" si="3"/>
        <v>Programming part 2 - Selection::11::Modify a program that uses nested selection</v>
      </c>
      <c r="F244" s="68" t="s">
        <v>1944</v>
      </c>
      <c r="G244" s="68" t="s">
        <v>28</v>
      </c>
      <c r="H244" s="68" t="s">
        <v>1087</v>
      </c>
    </row>
    <row r="245" spans="1:8" ht="13" x14ac:dyDescent="0.15">
      <c r="A245" s="68" t="s">
        <v>2056</v>
      </c>
      <c r="B245" s="68" t="s">
        <v>2317</v>
      </c>
      <c r="C245" s="68">
        <v>12</v>
      </c>
      <c r="D245" s="68" t="s">
        <v>2318</v>
      </c>
      <c r="E245" s="68" t="str">
        <f t="shared" si="3"/>
        <v>Programming part 3 - Iteration::12::Define iteration as a group of instructions that are repeatedly executed</v>
      </c>
      <c r="F245" s="68" t="s">
        <v>1944</v>
      </c>
      <c r="G245" s="68" t="s">
        <v>1225</v>
      </c>
      <c r="H245" s="68" t="s">
        <v>1087</v>
      </c>
    </row>
    <row r="246" spans="1:8" ht="13" x14ac:dyDescent="0.15">
      <c r="A246" s="68" t="s">
        <v>2056</v>
      </c>
      <c r="B246" s="68" t="s">
        <v>2317</v>
      </c>
      <c r="C246" s="68">
        <v>12</v>
      </c>
      <c r="D246" s="68" t="s">
        <v>2319</v>
      </c>
      <c r="E246" s="68" t="str">
        <f t="shared" si="3"/>
        <v>Programming part 3 - Iteration::12::Modify a program to incorporate a while loop</v>
      </c>
      <c r="F246" s="68" t="s">
        <v>1944</v>
      </c>
      <c r="G246" s="68" t="s">
        <v>28</v>
      </c>
      <c r="H246" s="68" t="s">
        <v>1087</v>
      </c>
    </row>
    <row r="247" spans="1:8" ht="13" x14ac:dyDescent="0.15">
      <c r="A247" s="68" t="s">
        <v>2056</v>
      </c>
      <c r="B247" s="68" t="s">
        <v>2317</v>
      </c>
      <c r="C247" s="68">
        <v>13</v>
      </c>
      <c r="D247" s="68" t="s">
        <v>2320</v>
      </c>
      <c r="E247" s="68" t="str">
        <f t="shared" si="3"/>
        <v>Programming part 3 - Iteration::13::Use a trace table to walkthrough code that uses a while loop</v>
      </c>
      <c r="F247" s="68" t="s">
        <v>1944</v>
      </c>
      <c r="G247" s="68" t="s">
        <v>1225</v>
      </c>
      <c r="H247" s="68" t="s">
        <v>1087</v>
      </c>
    </row>
    <row r="248" spans="1:8" ht="13" x14ac:dyDescent="0.15">
      <c r="A248" s="68" t="s">
        <v>2056</v>
      </c>
      <c r="B248" s="68" t="s">
        <v>2317</v>
      </c>
      <c r="C248" s="68">
        <v>13</v>
      </c>
      <c r="D248" s="68" t="s">
        <v>2321</v>
      </c>
      <c r="E248" s="68" t="str">
        <f t="shared" si="3"/>
        <v>Programming part 3 - Iteration::13::Use a trace table to detect and correct errors in programs</v>
      </c>
      <c r="F248" s="68" t="s">
        <v>1944</v>
      </c>
      <c r="G248" s="68" t="s">
        <v>1225</v>
      </c>
      <c r="H248" s="68" t="s">
        <v>1087</v>
      </c>
    </row>
    <row r="249" spans="1:8" ht="13" x14ac:dyDescent="0.15">
      <c r="A249" s="68" t="s">
        <v>2056</v>
      </c>
      <c r="B249" s="68" t="s">
        <v>2317</v>
      </c>
      <c r="C249" s="68">
        <v>14</v>
      </c>
      <c r="D249" s="68" t="s">
        <v>2322</v>
      </c>
      <c r="E249" s="68" t="str">
        <f t="shared" si="3"/>
        <v>Programming part 3 - Iteration::14::Define a for loop</v>
      </c>
      <c r="F249" s="68" t="s">
        <v>1944</v>
      </c>
      <c r="G249" s="68" t="s">
        <v>28</v>
      </c>
      <c r="H249" s="68" t="s">
        <v>1087</v>
      </c>
    </row>
    <row r="250" spans="1:8" ht="13" x14ac:dyDescent="0.15">
      <c r="A250" s="68" t="s">
        <v>2056</v>
      </c>
      <c r="B250" s="68" t="s">
        <v>2317</v>
      </c>
      <c r="C250" s="68">
        <v>14</v>
      </c>
      <c r="D250" s="68" t="s">
        <v>2323</v>
      </c>
      <c r="E250" s="68" t="str">
        <f t="shared" si="3"/>
        <v>Programming part 3 - Iteration::14::Walk through code that uses a for loop</v>
      </c>
      <c r="F250" s="68" t="s">
        <v>1944</v>
      </c>
      <c r="G250" s="68" t="s">
        <v>1225</v>
      </c>
      <c r="H250" s="68" t="s">
        <v>1087</v>
      </c>
    </row>
    <row r="251" spans="1:8" ht="13" x14ac:dyDescent="0.15">
      <c r="A251" s="68" t="s">
        <v>2056</v>
      </c>
      <c r="B251" s="68" t="s">
        <v>2317</v>
      </c>
      <c r="C251" s="68">
        <v>14</v>
      </c>
      <c r="D251" s="68" t="s">
        <v>2324</v>
      </c>
      <c r="E251" s="68" t="str">
        <f t="shared" si="3"/>
        <v>Programming part 3 - Iteration::14::Modify a program that uses a for loop</v>
      </c>
      <c r="F251" s="68" t="s">
        <v>1944</v>
      </c>
      <c r="G251" s="68" t="s">
        <v>28</v>
      </c>
      <c r="H251" s="68" t="s">
        <v>1087</v>
      </c>
    </row>
    <row r="252" spans="1:8" ht="13" x14ac:dyDescent="0.15">
      <c r="A252" s="68" t="s">
        <v>2056</v>
      </c>
      <c r="B252" s="68" t="s">
        <v>2317</v>
      </c>
      <c r="C252" s="68">
        <v>14</v>
      </c>
      <c r="D252" s="68" t="s">
        <v>2325</v>
      </c>
      <c r="E252" s="68" t="str">
        <f t="shared" si="3"/>
        <v>Programming part 3 - Iteration::14::Compare a while loop and a for loop</v>
      </c>
      <c r="F252" s="68" t="s">
        <v>1944</v>
      </c>
      <c r="G252" s="68" t="s">
        <v>1157</v>
      </c>
      <c r="H252" s="68" t="s">
        <v>1087</v>
      </c>
    </row>
    <row r="253" spans="1:8" ht="13" x14ac:dyDescent="0.15">
      <c r="A253" s="68" t="s">
        <v>2056</v>
      </c>
      <c r="B253" s="68" t="s">
        <v>2317</v>
      </c>
      <c r="C253" s="68">
        <v>15</v>
      </c>
      <c r="D253" s="68" t="s">
        <v>2326</v>
      </c>
      <c r="E253" s="68" t="str">
        <f t="shared" si="3"/>
        <v>Programming part 3 - Iteration::15::Determine the need for validation checks</v>
      </c>
      <c r="F253" s="68" t="s">
        <v>1944</v>
      </c>
      <c r="G253" s="68" t="s">
        <v>1225</v>
      </c>
      <c r="H253" s="68" t="s">
        <v>1087</v>
      </c>
    </row>
    <row r="254" spans="1:8" ht="13" x14ac:dyDescent="0.15">
      <c r="A254" s="68" t="s">
        <v>2056</v>
      </c>
      <c r="B254" s="68" t="s">
        <v>2317</v>
      </c>
      <c r="C254" s="68">
        <v>15</v>
      </c>
      <c r="D254" s="68" t="s">
        <v>2327</v>
      </c>
      <c r="E254" s="68" t="str">
        <f t="shared" si="3"/>
        <v>Programming part 3 - Iteration::15::Use iteration to perform validation checks</v>
      </c>
      <c r="F254" s="68" t="s">
        <v>1944</v>
      </c>
      <c r="G254" s="68" t="s">
        <v>28</v>
      </c>
      <c r="H254" s="68" t="s">
        <v>1087</v>
      </c>
    </row>
    <row r="255" spans="1:8" ht="13" x14ac:dyDescent="0.15">
      <c r="A255" s="68" t="s">
        <v>2056</v>
      </c>
      <c r="B255" s="68" t="s">
        <v>2317</v>
      </c>
      <c r="C255" s="68">
        <v>16</v>
      </c>
      <c r="D255" s="68" t="s">
        <v>2328</v>
      </c>
      <c r="E255" s="68" t="str">
        <f t="shared" si="3"/>
        <v>Programming part 3 - Iteration::16::Describe the purpose of pseudocode</v>
      </c>
      <c r="F255" s="68" t="s">
        <v>1944</v>
      </c>
      <c r="G255" s="68" t="s">
        <v>1225</v>
      </c>
      <c r="H255" s="68" t="s">
        <v>1087</v>
      </c>
    </row>
    <row r="256" spans="1:8" ht="13" x14ac:dyDescent="0.15">
      <c r="A256" s="68" t="s">
        <v>2056</v>
      </c>
      <c r="B256" s="68" t="s">
        <v>2317</v>
      </c>
      <c r="C256" s="68">
        <v>16</v>
      </c>
      <c r="D256" s="68" t="s">
        <v>2329</v>
      </c>
      <c r="E256" s="68" t="str">
        <f t="shared" si="3"/>
        <v>Programming part 3 - Iteration::16::Translate pseudocode into a program</v>
      </c>
      <c r="F256" s="68" t="s">
        <v>1944</v>
      </c>
      <c r="G256" s="68" t="s">
        <v>1225</v>
      </c>
      <c r="H256" s="68" t="s">
        <v>1087</v>
      </c>
    </row>
    <row r="257" spans="1:8" ht="13" x14ac:dyDescent="0.15">
      <c r="A257" s="68" t="s">
        <v>2056</v>
      </c>
      <c r="B257" s="68" t="s">
        <v>2317</v>
      </c>
      <c r="C257" s="68">
        <v>16</v>
      </c>
      <c r="D257" s="68" t="s">
        <v>2330</v>
      </c>
      <c r="E257" s="68" t="str">
        <f t="shared" si="3"/>
        <v>Programming part 3 - Iteration::16::Design and build a program using pseudocode</v>
      </c>
      <c r="F257" s="68" t="s">
        <v>1944</v>
      </c>
      <c r="G257" s="68" t="s">
        <v>1157</v>
      </c>
      <c r="H257" s="68" t="s">
        <v>1087</v>
      </c>
    </row>
    <row r="258" spans="1:8" ht="13" x14ac:dyDescent="0.15">
      <c r="A258" s="68" t="s">
        <v>2056</v>
      </c>
      <c r="B258" s="68" t="s">
        <v>2331</v>
      </c>
      <c r="C258" s="68">
        <v>18</v>
      </c>
      <c r="D258" s="68" t="s">
        <v>2332</v>
      </c>
      <c r="E258" s="68" t="str">
        <f t="shared" ref="E258:E321" si="4">B258&amp;"::"&amp;C258&amp;"::"&amp;D258</f>
        <v>Programming part 4 - Subroutines::18::Describe a subroutine</v>
      </c>
      <c r="F258" s="68" t="s">
        <v>1944</v>
      </c>
      <c r="G258" s="68" t="s">
        <v>28</v>
      </c>
      <c r="H258" s="68" t="s">
        <v>1087</v>
      </c>
    </row>
    <row r="259" spans="1:8" ht="13" x14ac:dyDescent="0.15">
      <c r="A259" s="68" t="s">
        <v>2056</v>
      </c>
      <c r="B259" s="68" t="s">
        <v>2331</v>
      </c>
      <c r="C259" s="68">
        <v>18</v>
      </c>
      <c r="D259" s="68" t="s">
        <v>2333</v>
      </c>
      <c r="E259" s="68" t="str">
        <f t="shared" si="4"/>
        <v>Programming part 4 - Subroutines::18::Describe the purpose of parameters in subroutines</v>
      </c>
      <c r="F259" s="68" t="s">
        <v>1944</v>
      </c>
      <c r="G259" s="68" t="s">
        <v>28</v>
      </c>
      <c r="H259" s="68" t="s">
        <v>1087</v>
      </c>
    </row>
    <row r="260" spans="1:8" ht="13" x14ac:dyDescent="0.15">
      <c r="A260" s="68" t="s">
        <v>2056</v>
      </c>
      <c r="B260" s="68" t="s">
        <v>2331</v>
      </c>
      <c r="C260" s="68">
        <v>18</v>
      </c>
      <c r="D260" s="68" t="s">
        <v>2334</v>
      </c>
      <c r="E260" s="68" t="str">
        <f t="shared" si="4"/>
        <v>Programming part 4 - Subroutines::18::Use procedures that accept arguments through parameters</v>
      </c>
      <c r="F260" s="68" t="s">
        <v>1944</v>
      </c>
      <c r="G260" s="68" t="s">
        <v>28</v>
      </c>
      <c r="H260" s="68" t="s">
        <v>1087</v>
      </c>
    </row>
    <row r="261" spans="1:8" ht="13" x14ac:dyDescent="0.15">
      <c r="A261" s="68" t="s">
        <v>2056</v>
      </c>
      <c r="B261" s="68" t="s">
        <v>2331</v>
      </c>
      <c r="C261" s="68">
        <v>18</v>
      </c>
      <c r="D261" s="68" t="s">
        <v>2335</v>
      </c>
      <c r="E261" s="68" t="str">
        <f t="shared" si="4"/>
        <v>Programming part 4 - Subroutines::18::Describe how subroutines are used for decomposition</v>
      </c>
      <c r="F261" s="68" t="s">
        <v>1944</v>
      </c>
      <c r="G261" s="68" t="s">
        <v>28</v>
      </c>
      <c r="H261" s="68" t="s">
        <v>1087</v>
      </c>
    </row>
    <row r="262" spans="1:8" ht="13" x14ac:dyDescent="0.15">
      <c r="A262" s="68" t="s">
        <v>2056</v>
      </c>
      <c r="B262" s="68" t="s">
        <v>2331</v>
      </c>
      <c r="C262" s="68">
        <v>18</v>
      </c>
      <c r="D262" s="68" t="s">
        <v>2336</v>
      </c>
      <c r="E262" s="68" t="str">
        <f t="shared" si="4"/>
        <v>Programming part 4 - Subroutines::18::List the advantages of subroutines</v>
      </c>
      <c r="F262" s="68" t="s">
        <v>1944</v>
      </c>
      <c r="G262" s="68" t="s">
        <v>28</v>
      </c>
      <c r="H262" s="68" t="s">
        <v>1087</v>
      </c>
    </row>
    <row r="263" spans="1:8" ht="13" x14ac:dyDescent="0.15">
      <c r="A263" s="68" t="s">
        <v>2056</v>
      </c>
      <c r="B263" s="68" t="s">
        <v>2331</v>
      </c>
      <c r="C263" s="68">
        <v>19</v>
      </c>
      <c r="D263" s="68" t="s">
        <v>2337</v>
      </c>
      <c r="E263" s="68" t="str">
        <f t="shared" si="4"/>
        <v>Programming part 4 - Subroutines::19::Explain the difference between a function and a procedure</v>
      </c>
      <c r="F263" s="68" t="s">
        <v>1944</v>
      </c>
      <c r="G263" s="68" t="s">
        <v>28</v>
      </c>
      <c r="H263" s="68" t="s">
        <v>1087</v>
      </c>
    </row>
    <row r="264" spans="1:8" ht="13" x14ac:dyDescent="0.15">
      <c r="A264" s="68" t="s">
        <v>2056</v>
      </c>
      <c r="B264" s="68" t="s">
        <v>2331</v>
      </c>
      <c r="C264" s="68">
        <v>19</v>
      </c>
      <c r="D264" s="68" t="s">
        <v>2338</v>
      </c>
      <c r="E264" s="68" t="str">
        <f t="shared" si="4"/>
        <v>Programming part 4 - Subroutines::19::Use trace tables to investigate functions</v>
      </c>
      <c r="F264" s="68" t="s">
        <v>1944</v>
      </c>
      <c r="G264" s="68" t="s">
        <v>1225</v>
      </c>
      <c r="H264" s="68" t="s">
        <v>1087</v>
      </c>
    </row>
    <row r="265" spans="1:8" ht="13" x14ac:dyDescent="0.15">
      <c r="A265" s="68" t="s">
        <v>2056</v>
      </c>
      <c r="B265" s="68" t="s">
        <v>2331</v>
      </c>
      <c r="C265" s="68">
        <v>19</v>
      </c>
      <c r="D265" s="68" t="s">
        <v>2339</v>
      </c>
      <c r="E265" s="68" t="str">
        <f t="shared" si="4"/>
        <v>Programming part 4 - Subroutines::19::Use functions to return values in programs</v>
      </c>
      <c r="F265" s="68" t="s">
        <v>1944</v>
      </c>
      <c r="G265" s="68" t="s">
        <v>28</v>
      </c>
      <c r="H265" s="68" t="s">
        <v>1087</v>
      </c>
    </row>
    <row r="266" spans="1:8" ht="13" x14ac:dyDescent="0.15">
      <c r="A266" s="68" t="s">
        <v>2056</v>
      </c>
      <c r="B266" s="68" t="s">
        <v>2331</v>
      </c>
      <c r="C266" s="68">
        <v>20</v>
      </c>
      <c r="D266" s="68" t="s">
        <v>2340</v>
      </c>
      <c r="E266" s="68" t="str">
        <f t="shared" si="4"/>
        <v>Programming part 4 - Subroutines::20::Describe scope of variables</v>
      </c>
      <c r="F266" s="68" t="s">
        <v>1944</v>
      </c>
      <c r="G266" s="68" t="s">
        <v>28</v>
      </c>
      <c r="H266" s="68" t="s">
        <v>1087</v>
      </c>
    </row>
    <row r="267" spans="1:8" ht="13" x14ac:dyDescent="0.15">
      <c r="A267" s="68" t="s">
        <v>2056</v>
      </c>
      <c r="B267" s="68" t="s">
        <v>2331</v>
      </c>
      <c r="C267" s="68">
        <v>20</v>
      </c>
      <c r="D267" s="68" t="s">
        <v>2341</v>
      </c>
      <c r="E267" s="68" t="str">
        <f t="shared" si="4"/>
        <v>Programming part 4 - Subroutines::20::Describe how parameters can reduce the need for global variables</v>
      </c>
      <c r="F267" s="68" t="s">
        <v>1944</v>
      </c>
      <c r="G267" s="68" t="s">
        <v>28</v>
      </c>
      <c r="H267" s="68" t="s">
        <v>1087</v>
      </c>
    </row>
    <row r="268" spans="1:8" ht="13" x14ac:dyDescent="0.15">
      <c r="A268" s="68" t="s">
        <v>2056</v>
      </c>
      <c r="B268" s="68" t="s">
        <v>2331</v>
      </c>
      <c r="C268" s="68">
        <v>20</v>
      </c>
      <c r="D268" s="68" t="s">
        <v>2342</v>
      </c>
      <c r="E268" s="68" t="str">
        <f t="shared" si="4"/>
        <v>Programming part 4 - Subroutines::20::Identify when to use global variables</v>
      </c>
      <c r="F268" s="68" t="s">
        <v>1944</v>
      </c>
      <c r="G268" s="68" t="s">
        <v>28</v>
      </c>
      <c r="H268" s="68" t="s">
        <v>1087</v>
      </c>
    </row>
    <row r="269" spans="1:8" ht="13" x14ac:dyDescent="0.15">
      <c r="A269" s="68" t="s">
        <v>2056</v>
      </c>
      <c r="B269" s="68" t="s">
        <v>2331</v>
      </c>
      <c r="C269" s="68">
        <v>20</v>
      </c>
      <c r="D269" s="68" t="s">
        <v>2343</v>
      </c>
      <c r="E269" s="68" t="str">
        <f t="shared" si="4"/>
        <v>Programming part 4 - Subroutines::20::Describe a constant</v>
      </c>
      <c r="F269" s="68" t="s">
        <v>1944</v>
      </c>
      <c r="G269" s="68" t="s">
        <v>28</v>
      </c>
      <c r="H269" s="68" t="s">
        <v>1087</v>
      </c>
    </row>
    <row r="270" spans="1:8" ht="13" x14ac:dyDescent="0.15">
      <c r="A270" s="68" t="s">
        <v>2056</v>
      </c>
      <c r="B270" s="68" t="s">
        <v>2331</v>
      </c>
      <c r="C270" s="68">
        <v>21</v>
      </c>
      <c r="D270" s="68" t="s">
        <v>2344</v>
      </c>
      <c r="E270" s="68" t="str">
        <f t="shared" si="4"/>
        <v>Programming part 4 - Subroutines::21::Use a truth table</v>
      </c>
      <c r="F270" s="68" t="s">
        <v>1944</v>
      </c>
      <c r="G270" s="68" t="s">
        <v>1225</v>
      </c>
      <c r="H270" s="68" t="s">
        <v>1087</v>
      </c>
    </row>
    <row r="271" spans="1:8" ht="13" x14ac:dyDescent="0.15">
      <c r="A271" s="68" t="s">
        <v>2056</v>
      </c>
      <c r="B271" s="68" t="s">
        <v>2331</v>
      </c>
      <c r="C271" s="68">
        <v>21</v>
      </c>
      <c r="D271" s="68" t="s">
        <v>2345</v>
      </c>
      <c r="E271" s="68" t="str">
        <f t="shared" si="4"/>
        <v>Programming part 4 - Subroutines::21::Describe the function of an XOR operator</v>
      </c>
      <c r="F271" s="68" t="s">
        <v>1944</v>
      </c>
      <c r="G271" s="68" t="s">
        <v>25</v>
      </c>
      <c r="H271" s="68" t="s">
        <v>1087</v>
      </c>
    </row>
    <row r="272" spans="1:8" ht="13" x14ac:dyDescent="0.15">
      <c r="A272" s="68" t="s">
        <v>2056</v>
      </c>
      <c r="B272" s="68" t="s">
        <v>2331</v>
      </c>
      <c r="C272" s="68">
        <v>21</v>
      </c>
      <c r="D272" s="68" t="s">
        <v>2346</v>
      </c>
      <c r="E272" s="68" t="str">
        <f t="shared" si="4"/>
        <v>Programming part 4 - Subroutines::21::Design and create a function for an XOR operator</v>
      </c>
      <c r="F272" s="68" t="s">
        <v>1944</v>
      </c>
      <c r="G272" s="68" t="s">
        <v>1157</v>
      </c>
      <c r="H272" s="68" t="s">
        <v>1087</v>
      </c>
    </row>
    <row r="273" spans="1:8" ht="13" x14ac:dyDescent="0.15">
      <c r="A273" s="68" t="s">
        <v>2056</v>
      </c>
      <c r="B273" s="68" t="s">
        <v>2331</v>
      </c>
      <c r="C273" s="68">
        <v>22</v>
      </c>
      <c r="D273" s="68" t="s">
        <v>2347</v>
      </c>
      <c r="E273" s="68" t="str">
        <f t="shared" si="4"/>
        <v>Programming part 4 - Subroutines::22::Describe the structured approach to programming</v>
      </c>
      <c r="F273" s="68" t="s">
        <v>1944</v>
      </c>
      <c r="G273" s="68" t="s">
        <v>28</v>
      </c>
      <c r="H273" s="68" t="s">
        <v>1087</v>
      </c>
    </row>
    <row r="274" spans="1:8" ht="13" x14ac:dyDescent="0.15">
      <c r="A274" s="68" t="s">
        <v>2056</v>
      </c>
      <c r="B274" s="68" t="s">
        <v>2331</v>
      </c>
      <c r="C274" s="68">
        <v>22</v>
      </c>
      <c r="D274" s="68" t="s">
        <v>2348</v>
      </c>
      <c r="E274" s="68" t="str">
        <f t="shared" si="4"/>
        <v>Programming part 4 - Subroutines::22::Explain the advantages of the structured approach</v>
      </c>
      <c r="F274" s="68" t="s">
        <v>1944</v>
      </c>
      <c r="G274" s="68" t="s">
        <v>28</v>
      </c>
      <c r="H274" s="68" t="s">
        <v>1087</v>
      </c>
    </row>
    <row r="275" spans="1:8" ht="13" x14ac:dyDescent="0.15">
      <c r="A275" s="68" t="s">
        <v>2056</v>
      </c>
      <c r="B275" s="68" t="s">
        <v>2331</v>
      </c>
      <c r="C275" s="68">
        <v>22</v>
      </c>
      <c r="D275" s="68" t="s">
        <v>2349</v>
      </c>
      <c r="E275" s="68" t="str">
        <f t="shared" si="4"/>
        <v>Programming part 4 - Subroutines::22::Use the structured approach in programming</v>
      </c>
      <c r="F275" s="68" t="s">
        <v>1944</v>
      </c>
      <c r="G275" s="68" t="s">
        <v>28</v>
      </c>
      <c r="H275" s="68" t="s">
        <v>1087</v>
      </c>
    </row>
    <row r="276" spans="1:8" ht="13" x14ac:dyDescent="0.15">
      <c r="A276" s="68" t="s">
        <v>2056</v>
      </c>
      <c r="B276" s="68" t="s">
        <v>2331</v>
      </c>
      <c r="C276" s="68">
        <v>23</v>
      </c>
      <c r="D276" s="68" t="s">
        <v>2350</v>
      </c>
      <c r="E276" s="68" t="str">
        <f t="shared" si="4"/>
        <v>Programming part 4 - Subroutines::23::Describe iterative testing</v>
      </c>
      <c r="F276" s="68" t="s">
        <v>1944</v>
      </c>
      <c r="G276" s="68" t="s">
        <v>28</v>
      </c>
      <c r="H276" s="68" t="s">
        <v>1087</v>
      </c>
    </row>
    <row r="277" spans="1:8" ht="13" x14ac:dyDescent="0.15">
      <c r="A277" s="68" t="s">
        <v>2056</v>
      </c>
      <c r="B277" s="68" t="s">
        <v>2331</v>
      </c>
      <c r="C277" s="68">
        <v>23</v>
      </c>
      <c r="D277" s="68" t="s">
        <v>2351</v>
      </c>
      <c r="E277" s="68" t="str">
        <f t="shared" si="4"/>
        <v>Programming part 4 - Subroutines::23::Describe the types of testing (erroneous, boundary, normal)</v>
      </c>
      <c r="F277" s="68" t="s">
        <v>1944</v>
      </c>
      <c r="G277" s="68" t="s">
        <v>28</v>
      </c>
      <c r="H277" s="68" t="s">
        <v>1087</v>
      </c>
    </row>
    <row r="278" spans="1:8" ht="13" x14ac:dyDescent="0.15">
      <c r="A278" s="68" t="s">
        <v>2056</v>
      </c>
      <c r="B278" s="68" t="s">
        <v>2331</v>
      </c>
      <c r="C278" s="68">
        <v>23</v>
      </c>
      <c r="D278" s="68" t="s">
        <v>2352</v>
      </c>
      <c r="E278" s="68" t="str">
        <f t="shared" si="4"/>
        <v>Programming part 4 - Subroutines::23::Design and create a program</v>
      </c>
      <c r="F278" s="68" t="s">
        <v>1944</v>
      </c>
      <c r="G278" s="68" t="s">
        <v>1157</v>
      </c>
      <c r="H278" s="68" t="s">
        <v>1087</v>
      </c>
    </row>
    <row r="279" spans="1:8" ht="13" x14ac:dyDescent="0.15">
      <c r="A279" s="68" t="s">
        <v>2056</v>
      </c>
      <c r="B279" s="68" t="s">
        <v>2353</v>
      </c>
      <c r="C279" s="68">
        <v>25</v>
      </c>
      <c r="D279" s="68" t="s">
        <v>2354</v>
      </c>
      <c r="E279" s="68" t="str">
        <f t="shared" si="4"/>
        <v>Programming part 5 - Strings and lists::25::Define the term GUI</v>
      </c>
      <c r="F279" s="68" t="s">
        <v>1944</v>
      </c>
      <c r="G279" s="68" t="s">
        <v>1487</v>
      </c>
      <c r="H279" s="68" t="s">
        <v>1087</v>
      </c>
    </row>
    <row r="280" spans="1:8" ht="13" x14ac:dyDescent="0.15">
      <c r="A280" s="68" t="s">
        <v>2056</v>
      </c>
      <c r="B280" s="68" t="s">
        <v>2353</v>
      </c>
      <c r="C280" s="68">
        <v>25</v>
      </c>
      <c r="D280" s="68" t="s">
        <v>2355</v>
      </c>
      <c r="E280" s="68" t="str">
        <f t="shared" si="4"/>
        <v>Programming part 5 - Strings and lists::25::Import third-party libraries</v>
      </c>
      <c r="F280" s="68" t="s">
        <v>1944</v>
      </c>
      <c r="G280" s="68" t="s">
        <v>1309</v>
      </c>
      <c r="H280" s="68" t="s">
        <v>1087</v>
      </c>
    </row>
    <row r="281" spans="1:8" ht="13" x14ac:dyDescent="0.15">
      <c r="A281" s="68" t="s">
        <v>2056</v>
      </c>
      <c r="B281" s="68" t="s">
        <v>2353</v>
      </c>
      <c r="C281" s="68">
        <v>25</v>
      </c>
      <c r="D281" s="68" t="s">
        <v>2356</v>
      </c>
      <c r="E281" s="68" t="str">
        <f t="shared" si="4"/>
        <v>Programming part 5 - Strings and lists::25::Use guizero to create an event-driven program that uses a GUI</v>
      </c>
      <c r="F281" s="68" t="s">
        <v>1944</v>
      </c>
      <c r="G281" s="68" t="s">
        <v>1309</v>
      </c>
      <c r="H281" s="68" t="s">
        <v>1087</v>
      </c>
    </row>
    <row r="282" spans="1:8" ht="13" x14ac:dyDescent="0.15">
      <c r="A282" s="68" t="s">
        <v>2056</v>
      </c>
      <c r="B282" s="68" t="s">
        <v>2353</v>
      </c>
      <c r="C282" s="68">
        <v>26</v>
      </c>
      <c r="D282" s="68" t="s">
        <v>2357</v>
      </c>
      <c r="E282" s="68" t="str">
        <f t="shared" si="4"/>
        <v>Programming part 5 - Strings and lists::26::Describe the function of string operators</v>
      </c>
      <c r="F282" s="68" t="s">
        <v>1944</v>
      </c>
      <c r="G282" s="68" t="s">
        <v>28</v>
      </c>
      <c r="H282" s="68" t="s">
        <v>1087</v>
      </c>
    </row>
    <row r="283" spans="1:8" ht="13" x14ac:dyDescent="0.15">
      <c r="A283" s="68" t="s">
        <v>2056</v>
      </c>
      <c r="B283" s="68" t="s">
        <v>2353</v>
      </c>
      <c r="C283" s="68">
        <v>26</v>
      </c>
      <c r="D283" s="68" t="s">
        <v>2358</v>
      </c>
      <c r="E283" s="68" t="str">
        <f t="shared" si="4"/>
        <v>Programming part 5 - Strings and lists::26::Use string handling techniques</v>
      </c>
      <c r="F283" s="68" t="s">
        <v>1944</v>
      </c>
      <c r="G283" s="68" t="s">
        <v>28</v>
      </c>
      <c r="H283" s="68" t="s">
        <v>1087</v>
      </c>
    </row>
    <row r="284" spans="1:8" ht="13" x14ac:dyDescent="0.15">
      <c r="A284" s="68" t="s">
        <v>2056</v>
      </c>
      <c r="B284" s="68" t="s">
        <v>2353</v>
      </c>
      <c r="C284" s="68">
        <v>26</v>
      </c>
      <c r="D284" s="68" t="s">
        <v>2359</v>
      </c>
      <c r="E284" s="68" t="str">
        <f t="shared" si="4"/>
        <v>Programming part 5 - Strings and lists::26::Use for loops with string operations</v>
      </c>
      <c r="F284" s="68" t="s">
        <v>1944</v>
      </c>
      <c r="G284" s="68" t="s">
        <v>28</v>
      </c>
      <c r="H284" s="68" t="s">
        <v>1087</v>
      </c>
    </row>
    <row r="285" spans="1:8" ht="13" x14ac:dyDescent="0.15">
      <c r="A285" s="68" t="s">
        <v>2056</v>
      </c>
      <c r="B285" s="68" t="s">
        <v>2353</v>
      </c>
      <c r="C285" s="68">
        <v>27</v>
      </c>
      <c r="D285" s="68" t="s">
        <v>2360</v>
      </c>
      <c r="E285" s="68" t="str">
        <f t="shared" si="4"/>
        <v>Programming part 5 - Strings and lists::27::Use a substring in a program</v>
      </c>
      <c r="F285" s="68" t="s">
        <v>1944</v>
      </c>
      <c r="G285" s="68" t="s">
        <v>28</v>
      </c>
      <c r="H285" s="68" t="s">
        <v>1087</v>
      </c>
    </row>
    <row r="286" spans="1:8" ht="13" x14ac:dyDescent="0.15">
      <c r="A286" s="68" t="s">
        <v>2056</v>
      </c>
      <c r="B286" s="68" t="s">
        <v>2353</v>
      </c>
      <c r="C286" s="68">
        <v>27</v>
      </c>
      <c r="D286" s="68" t="s">
        <v>2361</v>
      </c>
      <c r="E286" s="68" t="str">
        <f t="shared" si="4"/>
        <v>Programming part 5 - Strings and lists::27::Use the in operator to check for a substring</v>
      </c>
      <c r="F286" s="68" t="s">
        <v>1944</v>
      </c>
      <c r="G286" s="68" t="s">
        <v>28</v>
      </c>
      <c r="H286" s="68" t="s">
        <v>1087</v>
      </c>
    </row>
    <row r="287" spans="1:8" ht="13" x14ac:dyDescent="0.15">
      <c r="A287" s="68" t="s">
        <v>2056</v>
      </c>
      <c r="B287" s="68" t="s">
        <v>2353</v>
      </c>
      <c r="C287" s="68">
        <v>27</v>
      </c>
      <c r="D287" s="68" t="s">
        <v>2362</v>
      </c>
      <c r="E287" s="68" t="str">
        <f t="shared" si="4"/>
        <v>Programming part 5 - Strings and lists::27::Use chr() and ord() to perform ASCII conversions</v>
      </c>
      <c r="F287" s="68" t="s">
        <v>1944</v>
      </c>
      <c r="G287" s="68" t="s">
        <v>1895</v>
      </c>
      <c r="H287" s="68" t="s">
        <v>1087</v>
      </c>
    </row>
    <row r="288" spans="1:8" ht="13" x14ac:dyDescent="0.15">
      <c r="A288" s="68" t="s">
        <v>2056</v>
      </c>
      <c r="B288" s="68" t="s">
        <v>2353</v>
      </c>
      <c r="C288" s="68">
        <v>28</v>
      </c>
      <c r="D288" s="68" t="s">
        <v>2363</v>
      </c>
      <c r="E288" s="68" t="str">
        <f t="shared" si="4"/>
        <v>Programming part 5 - Strings and lists::28::Create a program that uses string handling techniques</v>
      </c>
      <c r="F288" s="68" t="s">
        <v>1944</v>
      </c>
      <c r="G288" s="68" t="s">
        <v>28</v>
      </c>
      <c r="H288" s="68" t="s">
        <v>1087</v>
      </c>
    </row>
    <row r="289" spans="1:8" ht="13" x14ac:dyDescent="0.15">
      <c r="A289" s="68" t="s">
        <v>2056</v>
      </c>
      <c r="B289" s="68" t="s">
        <v>2353</v>
      </c>
      <c r="C289" s="68">
        <v>29</v>
      </c>
      <c r="D289" s="68" t="s">
        <v>2364</v>
      </c>
      <c r="E289" s="68" t="str">
        <f t="shared" si="4"/>
        <v>Programming part 5 - Strings and lists::29::Define a data structure</v>
      </c>
      <c r="F289" s="68" t="s">
        <v>1944</v>
      </c>
      <c r="G289" s="68" t="s">
        <v>1895</v>
      </c>
      <c r="H289" s="68" t="s">
        <v>1087</v>
      </c>
    </row>
    <row r="290" spans="1:8" ht="13" x14ac:dyDescent="0.15">
      <c r="A290" s="68" t="s">
        <v>2056</v>
      </c>
      <c r="B290" s="68" t="s">
        <v>2353</v>
      </c>
      <c r="C290" s="68">
        <v>29</v>
      </c>
      <c r="D290" s="68" t="s">
        <v>2365</v>
      </c>
      <c r="E290" s="68" t="str">
        <f t="shared" si="4"/>
        <v>Programming part 5 - Strings and lists::29::Define a list and an array</v>
      </c>
      <c r="F290" s="68" t="s">
        <v>1944</v>
      </c>
      <c r="G290" s="68" t="s">
        <v>1895</v>
      </c>
      <c r="H290" s="68" t="s">
        <v>1087</v>
      </c>
    </row>
    <row r="291" spans="1:8" ht="13" x14ac:dyDescent="0.15">
      <c r="A291" s="68" t="s">
        <v>2056</v>
      </c>
      <c r="B291" s="68" t="s">
        <v>2353</v>
      </c>
      <c r="C291" s="68">
        <v>29</v>
      </c>
      <c r="D291" s="68" t="s">
        <v>2366</v>
      </c>
      <c r="E291" s="68" t="str">
        <f t="shared" si="4"/>
        <v>Programming part 5 - Strings and lists::29::Describe the differences between lists and arrays</v>
      </c>
      <c r="F291" s="68" t="s">
        <v>1944</v>
      </c>
      <c r="G291" s="68" t="s">
        <v>1895</v>
      </c>
      <c r="H291" s="68" t="s">
        <v>1087</v>
      </c>
    </row>
    <row r="292" spans="1:8" ht="13" x14ac:dyDescent="0.15">
      <c r="A292" s="68" t="s">
        <v>2056</v>
      </c>
      <c r="B292" s="68" t="s">
        <v>2353</v>
      </c>
      <c r="C292" s="68">
        <v>29</v>
      </c>
      <c r="D292" s="68" t="s">
        <v>2367</v>
      </c>
      <c r="E292" s="68" t="str">
        <f t="shared" si="4"/>
        <v>Programming part 5 - Strings and lists::29::Use a list in a program</v>
      </c>
      <c r="F292" s="68" t="s">
        <v>1944</v>
      </c>
      <c r="G292" s="68" t="s">
        <v>28</v>
      </c>
      <c r="H292" s="68" t="s">
        <v>1087</v>
      </c>
    </row>
    <row r="293" spans="1:8" ht="13" x14ac:dyDescent="0.15">
      <c r="A293" s="68" t="s">
        <v>2056</v>
      </c>
      <c r="B293" s="68" t="s">
        <v>2353</v>
      </c>
      <c r="C293" s="68">
        <v>29</v>
      </c>
      <c r="D293" s="68" t="s">
        <v>2368</v>
      </c>
      <c r="E293" s="68" t="str">
        <f t="shared" si="4"/>
        <v>Programming part 5 - Strings and lists::29::Append to a list</v>
      </c>
      <c r="F293" s="68" t="s">
        <v>1944</v>
      </c>
      <c r="G293" s="68" t="s">
        <v>28</v>
      </c>
      <c r="H293" s="68" t="s">
        <v>1087</v>
      </c>
    </row>
    <row r="294" spans="1:8" ht="13" x14ac:dyDescent="0.15">
      <c r="A294" s="68" t="s">
        <v>2056</v>
      </c>
      <c r="B294" s="68" t="s">
        <v>2353</v>
      </c>
      <c r="C294" s="68">
        <v>30</v>
      </c>
      <c r="D294" s="68" t="s">
        <v>2369</v>
      </c>
      <c r="E294" s="68" t="str">
        <f t="shared" si="4"/>
        <v>Programming part 5 - Strings and lists::30::Traverse a list of elements</v>
      </c>
      <c r="F294" s="68" t="s">
        <v>1944</v>
      </c>
      <c r="G294" s="68" t="s">
        <v>1888</v>
      </c>
      <c r="H294" s="68" t="s">
        <v>1087</v>
      </c>
    </row>
    <row r="295" spans="1:8" ht="13" x14ac:dyDescent="0.15">
      <c r="A295" s="68" t="s">
        <v>2056</v>
      </c>
      <c r="B295" s="68" t="s">
        <v>2353</v>
      </c>
      <c r="C295" s="68">
        <v>30</v>
      </c>
      <c r="D295" s="68" t="s">
        <v>2370</v>
      </c>
      <c r="E295" s="68" t="str">
        <f t="shared" si="4"/>
        <v>Programming part 5 - Strings and lists::30::Use list methods</v>
      </c>
      <c r="F295" s="68" t="s">
        <v>1944</v>
      </c>
      <c r="G295" s="68" t="s">
        <v>28</v>
      </c>
      <c r="H295" s="68" t="s">
        <v>1087</v>
      </c>
    </row>
    <row r="296" spans="1:8" ht="13" x14ac:dyDescent="0.15">
      <c r="A296" s="68" t="s">
        <v>2056</v>
      </c>
      <c r="B296" s="68" t="s">
        <v>2353</v>
      </c>
      <c r="C296" s="68">
        <v>30</v>
      </c>
      <c r="D296" s="68" t="s">
        <v>2371</v>
      </c>
      <c r="E296" s="68" t="str">
        <f t="shared" si="4"/>
        <v>Programming part 5 - Strings and lists::30::Create a function that returns a list</v>
      </c>
      <c r="F296" s="68" t="s">
        <v>1944</v>
      </c>
      <c r="G296" s="68" t="s">
        <v>28</v>
      </c>
      <c r="H296" s="68" t="s">
        <v>1087</v>
      </c>
    </row>
    <row r="297" spans="1:8" ht="13" x14ac:dyDescent="0.15">
      <c r="A297" s="68" t="s">
        <v>2056</v>
      </c>
      <c r="B297" s="68" t="s">
        <v>2353</v>
      </c>
      <c r="C297" s="68">
        <v>30</v>
      </c>
      <c r="D297" s="68" t="s">
        <v>2372</v>
      </c>
      <c r="E297" s="68" t="str">
        <f t="shared" si="4"/>
        <v>Programming part 5 - Strings and lists::30::Import custom built functions</v>
      </c>
      <c r="F297" s="68" t="s">
        <v>1944</v>
      </c>
      <c r="G297" s="68" t="s">
        <v>28</v>
      </c>
      <c r="H297" s="68" t="s">
        <v>1087</v>
      </c>
    </row>
    <row r="298" spans="1:8" ht="13" x14ac:dyDescent="0.15">
      <c r="A298" s="68" t="s">
        <v>2056</v>
      </c>
      <c r="B298" s="68" t="s">
        <v>2353</v>
      </c>
      <c r="C298" s="68">
        <v>31</v>
      </c>
      <c r="D298" s="68" t="s">
        <v>2373</v>
      </c>
      <c r="E298" s="68" t="str">
        <f t="shared" si="4"/>
        <v>Programming part 5 - Strings and lists::31::Use lists to display output on a physical computing device</v>
      </c>
      <c r="F298" s="68" t="s">
        <v>1944</v>
      </c>
      <c r="G298" s="68" t="s">
        <v>1487</v>
      </c>
      <c r="H298" s="68" t="s">
        <v>1087</v>
      </c>
    </row>
    <row r="299" spans="1:8" ht="13" x14ac:dyDescent="0.15">
      <c r="A299" s="68" t="s">
        <v>2056</v>
      </c>
      <c r="B299" s="68" t="s">
        <v>2353</v>
      </c>
      <c r="C299" s="68">
        <v>32</v>
      </c>
      <c r="D299" s="68" t="s">
        <v>2374</v>
      </c>
      <c r="E299" s="68" t="str">
        <f t="shared" si="4"/>
        <v>Programming part 5 - Strings and lists::32::Use randomisation to append items to a list</v>
      </c>
      <c r="F299" s="68" t="s">
        <v>1944</v>
      </c>
      <c r="G299" s="68" t="s">
        <v>28</v>
      </c>
      <c r="H299" s="68" t="s">
        <v>1087</v>
      </c>
    </row>
    <row r="300" spans="1:8" ht="13" x14ac:dyDescent="0.15">
      <c r="A300" s="68" t="s">
        <v>2056</v>
      </c>
      <c r="B300" s="68" t="s">
        <v>2353</v>
      </c>
      <c r="C300" s="68">
        <v>33</v>
      </c>
      <c r="D300" s="68" t="s">
        <v>2375</v>
      </c>
      <c r="E300" s="68" t="str">
        <f t="shared" si="4"/>
        <v>Programming part 5 - Strings and lists::33::Define a 2D array and a list</v>
      </c>
      <c r="F300" s="68" t="s">
        <v>1944</v>
      </c>
      <c r="G300" s="68" t="s">
        <v>1895</v>
      </c>
      <c r="H300" s="68" t="s">
        <v>1087</v>
      </c>
    </row>
    <row r="301" spans="1:8" ht="13" x14ac:dyDescent="0.15">
      <c r="A301" s="68" t="s">
        <v>2056</v>
      </c>
      <c r="B301" s="68" t="s">
        <v>2353</v>
      </c>
      <c r="C301" s="68">
        <v>33</v>
      </c>
      <c r="D301" s="68" t="s">
        <v>2376</v>
      </c>
      <c r="E301" s="68" t="str">
        <f t="shared" si="4"/>
        <v>Programming part 5 - Strings and lists::33::Use a 2D list in a program</v>
      </c>
      <c r="F301" s="68" t="s">
        <v>1944</v>
      </c>
      <c r="G301" s="68" t="s">
        <v>28</v>
      </c>
      <c r="H301" s="68" t="s">
        <v>1087</v>
      </c>
    </row>
    <row r="302" spans="1:8" ht="13" x14ac:dyDescent="0.15">
      <c r="A302" s="68" t="s">
        <v>2056</v>
      </c>
      <c r="B302" s="68" t="s">
        <v>2353</v>
      </c>
      <c r="C302" s="68">
        <v>34</v>
      </c>
      <c r="D302" s="68" t="s">
        <v>2377</v>
      </c>
      <c r="E302" s="68" t="str">
        <f t="shared" si="4"/>
        <v>Programming part 5 - Strings and lists::34::Use a 2D list as part of a programming challenge</v>
      </c>
      <c r="F302" s="68" t="s">
        <v>1944</v>
      </c>
      <c r="G302" s="68" t="s">
        <v>28</v>
      </c>
      <c r="H302" s="68" t="s">
        <v>1087</v>
      </c>
    </row>
    <row r="303" spans="1:8" ht="13" x14ac:dyDescent="0.15">
      <c r="A303" s="68" t="s">
        <v>2056</v>
      </c>
      <c r="B303" s="68" t="s">
        <v>2378</v>
      </c>
      <c r="C303" s="68">
        <v>36</v>
      </c>
      <c r="D303" s="68" t="s">
        <v>2379</v>
      </c>
      <c r="E303" s="68" t="str">
        <f t="shared" si="4"/>
        <v>Programming part 6 - Dictionaries and datafiles::36::Describe the record data structure</v>
      </c>
      <c r="F303" s="68" t="s">
        <v>1944</v>
      </c>
      <c r="G303" s="68" t="s">
        <v>1895</v>
      </c>
      <c r="H303" s="68" t="s">
        <v>1087</v>
      </c>
    </row>
    <row r="304" spans="1:8" ht="13" x14ac:dyDescent="0.15">
      <c r="A304" s="68" t="s">
        <v>2056</v>
      </c>
      <c r="B304" s="68" t="s">
        <v>2378</v>
      </c>
      <c r="C304" s="68">
        <v>36</v>
      </c>
      <c r="D304" s="68" t="s">
        <v>2380</v>
      </c>
      <c r="E304" s="68" t="str">
        <f t="shared" si="4"/>
        <v>Programming part 6 - Dictionaries and datafiles::36::Use a dictionary to represent a record in a program</v>
      </c>
      <c r="F304" s="68" t="s">
        <v>1944</v>
      </c>
      <c r="G304" s="68" t="s">
        <v>1895</v>
      </c>
      <c r="H304" s="68" t="s">
        <v>1087</v>
      </c>
    </row>
    <row r="305" spans="1:8" ht="13" x14ac:dyDescent="0.15">
      <c r="A305" s="68" t="s">
        <v>2056</v>
      </c>
      <c r="B305" s="68" t="s">
        <v>2378</v>
      </c>
      <c r="C305" s="68">
        <v>36</v>
      </c>
      <c r="D305" s="68" t="s">
        <v>2381</v>
      </c>
      <c r="E305" s="68" t="str">
        <f t="shared" si="4"/>
        <v>Programming part 6 - Dictionaries and datafiles::36::Use a dictionary with a list to represent records in a database</v>
      </c>
      <c r="F305" s="68" t="s">
        <v>1944</v>
      </c>
      <c r="G305" s="68" t="s">
        <v>1895</v>
      </c>
      <c r="H305" s="68" t="s">
        <v>1087</v>
      </c>
    </row>
    <row r="306" spans="1:8" ht="13" x14ac:dyDescent="0.15">
      <c r="A306" s="68" t="s">
        <v>2056</v>
      </c>
      <c r="B306" s="68" t="s">
        <v>2378</v>
      </c>
      <c r="C306" s="68">
        <v>37</v>
      </c>
      <c r="D306" s="68" t="s">
        <v>2382</v>
      </c>
      <c r="E306" s="68" t="str">
        <f t="shared" si="4"/>
        <v>Programming part 6 - Dictionaries and datafiles::37::Describe the dictionary data structure</v>
      </c>
      <c r="F306" s="68" t="s">
        <v>1944</v>
      </c>
      <c r="G306" s="68" t="s">
        <v>1895</v>
      </c>
      <c r="H306" s="68" t="s">
        <v>1087</v>
      </c>
    </row>
    <row r="307" spans="1:8" ht="13" x14ac:dyDescent="0.15">
      <c r="A307" s="68" t="s">
        <v>2056</v>
      </c>
      <c r="B307" s="68" t="s">
        <v>2378</v>
      </c>
      <c r="C307" s="68">
        <v>37</v>
      </c>
      <c r="D307" s="68" t="s">
        <v>2383</v>
      </c>
      <c r="E307" s="68" t="str">
        <f t="shared" si="4"/>
        <v>Programming part 6 - Dictionaries and datafiles::37::Use a dictionary to produce key-value pairs</v>
      </c>
      <c r="F307" s="68" t="s">
        <v>1944</v>
      </c>
      <c r="G307" s="68" t="s">
        <v>28</v>
      </c>
      <c r="H307" s="68" t="s">
        <v>1087</v>
      </c>
    </row>
    <row r="308" spans="1:8" ht="13" x14ac:dyDescent="0.15">
      <c r="A308" s="68" t="s">
        <v>2056</v>
      </c>
      <c r="B308" s="68" t="s">
        <v>2378</v>
      </c>
      <c r="C308" s="68">
        <v>38</v>
      </c>
      <c r="D308" s="68" t="s">
        <v>2384</v>
      </c>
      <c r="E308" s="68" t="str">
        <f t="shared" si="4"/>
        <v>Programming part 6 - Dictionaries and datafiles::38::Determine the purpose of external data files</v>
      </c>
      <c r="F308" s="68" t="s">
        <v>1944</v>
      </c>
      <c r="G308" s="68" t="s">
        <v>1713</v>
      </c>
      <c r="H308" s="68" t="s">
        <v>1087</v>
      </c>
    </row>
    <row r="309" spans="1:8" ht="13" x14ac:dyDescent="0.15">
      <c r="A309" s="68" t="s">
        <v>2056</v>
      </c>
      <c r="B309" s="68" t="s">
        <v>2378</v>
      </c>
      <c r="C309" s="68">
        <v>38</v>
      </c>
      <c r="D309" s="68" t="s">
        <v>2385</v>
      </c>
      <c r="E309" s="68" t="str">
        <f t="shared" si="4"/>
        <v>Programming part 6 - Dictionaries and datafiles::38::Read data from an external text file</v>
      </c>
      <c r="F309" s="68" t="s">
        <v>1944</v>
      </c>
      <c r="G309" s="68" t="s">
        <v>1713</v>
      </c>
      <c r="H309" s="68" t="s">
        <v>1087</v>
      </c>
    </row>
    <row r="310" spans="1:8" ht="13" x14ac:dyDescent="0.15">
      <c r="A310" s="68" t="s">
        <v>2056</v>
      </c>
      <c r="B310" s="68" t="s">
        <v>2378</v>
      </c>
      <c r="C310" s="68">
        <v>39</v>
      </c>
      <c r="D310" s="68" t="s">
        <v>2386</v>
      </c>
      <c r="E310" s="68" t="str">
        <f t="shared" si="4"/>
        <v>Programming part 6 - Dictionaries and datafiles::39::Write to text files</v>
      </c>
      <c r="F310" s="68" t="s">
        <v>1944</v>
      </c>
      <c r="G310" s="68" t="s">
        <v>1713</v>
      </c>
      <c r="H310" s="68" t="s">
        <v>1087</v>
      </c>
    </row>
    <row r="311" spans="1:8" ht="13" x14ac:dyDescent="0.15">
      <c r="A311" s="68" t="s">
        <v>2056</v>
      </c>
      <c r="B311" s="68" t="s">
        <v>2378</v>
      </c>
      <c r="C311" s="68">
        <v>39</v>
      </c>
      <c r="D311" s="68" t="s">
        <v>2387</v>
      </c>
      <c r="E311" s="68" t="str">
        <f t="shared" si="4"/>
        <v>Programming part 6 - Dictionaries and datafiles::39::Append to text files</v>
      </c>
      <c r="F311" s="68" t="s">
        <v>1944</v>
      </c>
      <c r="G311" s="68" t="s">
        <v>1713</v>
      </c>
      <c r="H311" s="68" t="s">
        <v>1087</v>
      </c>
    </row>
    <row r="312" spans="1:8" ht="13" x14ac:dyDescent="0.15">
      <c r="A312" s="68" t="s">
        <v>2056</v>
      </c>
      <c r="B312" s="68" t="s">
        <v>2378</v>
      </c>
      <c r="C312" s="68">
        <v>40</v>
      </c>
      <c r="D312" s="68" t="s">
        <v>2388</v>
      </c>
      <c r="E312" s="68" t="str">
        <f t="shared" si="4"/>
        <v>Programming part 6 - Dictionaries and datafiles::40::Describe a CSV file</v>
      </c>
      <c r="F312" s="68" t="s">
        <v>1944</v>
      </c>
      <c r="G312" s="68" t="s">
        <v>1895</v>
      </c>
      <c r="H312" s="68" t="s">
        <v>1087</v>
      </c>
    </row>
    <row r="313" spans="1:8" ht="13" x14ac:dyDescent="0.15">
      <c r="A313" s="68" t="s">
        <v>2056</v>
      </c>
      <c r="B313" s="68" t="s">
        <v>2378</v>
      </c>
      <c r="C313" s="68">
        <v>40</v>
      </c>
      <c r="D313" s="68" t="s">
        <v>2389</v>
      </c>
      <c r="E313" s="68" t="str">
        <f t="shared" si="4"/>
        <v>Programming part 6 - Dictionaries and datafiles::40::Read from a CSV file</v>
      </c>
      <c r="F313" s="68" t="s">
        <v>1944</v>
      </c>
      <c r="G313" s="68" t="s">
        <v>1713</v>
      </c>
      <c r="H313" s="68" t="s">
        <v>1087</v>
      </c>
    </row>
    <row r="314" spans="1:8" ht="13" x14ac:dyDescent="0.15">
      <c r="A314" s="68" t="s">
        <v>2056</v>
      </c>
      <c r="B314" s="68" t="s">
        <v>2378</v>
      </c>
      <c r="C314" s="68">
        <v>40</v>
      </c>
      <c r="D314" s="68" t="s">
        <v>2390</v>
      </c>
      <c r="E314" s="68" t="str">
        <f t="shared" si="4"/>
        <v>Programming part 6 - Dictionaries and datafiles::40::Use the split() method</v>
      </c>
      <c r="F314" s="68" t="s">
        <v>1944</v>
      </c>
      <c r="G314" s="68" t="s">
        <v>28</v>
      </c>
      <c r="H314" s="68" t="s">
        <v>1087</v>
      </c>
    </row>
    <row r="315" spans="1:8" ht="13" x14ac:dyDescent="0.15">
      <c r="A315" s="68" t="s">
        <v>2056</v>
      </c>
      <c r="B315" s="68" t="s">
        <v>2378</v>
      </c>
      <c r="C315" s="68">
        <v>40</v>
      </c>
      <c r="D315" s="68" t="s">
        <v>2391</v>
      </c>
      <c r="E315" s="68" t="str">
        <f t="shared" si="4"/>
        <v>Programming part 6 - Dictionaries and datafiles::40::Select data from a collection of values</v>
      </c>
      <c r="F315" s="68" t="s">
        <v>1944</v>
      </c>
      <c r="G315" s="68" t="s">
        <v>1895</v>
      </c>
      <c r="H315" s="68" t="s">
        <v>1087</v>
      </c>
    </row>
    <row r="316" spans="1:8" ht="13" x14ac:dyDescent="0.15">
      <c r="A316" s="68" t="s">
        <v>2056</v>
      </c>
      <c r="B316" s="68" t="s">
        <v>2378</v>
      </c>
      <c r="C316" s="68">
        <v>41</v>
      </c>
      <c r="D316" s="68" t="s">
        <v>2392</v>
      </c>
      <c r="E316" s="68" t="str">
        <f t="shared" si="4"/>
        <v>Programming part 6 - Dictionaries and datafiles::41::Write data from a 1D list to a CSV file</v>
      </c>
      <c r="F316" s="68" t="s">
        <v>1944</v>
      </c>
      <c r="G316" s="68" t="s">
        <v>1713</v>
      </c>
      <c r="H316" s="68" t="s">
        <v>1087</v>
      </c>
    </row>
    <row r="317" spans="1:8" ht="13" x14ac:dyDescent="0.15">
      <c r="A317" s="68" t="s">
        <v>2056</v>
      </c>
      <c r="B317" s="68" t="s">
        <v>2378</v>
      </c>
      <c r="C317" s="68">
        <v>41</v>
      </c>
      <c r="D317" s="68" t="s">
        <v>2393</v>
      </c>
      <c r="E317" s="68" t="str">
        <f t="shared" si="4"/>
        <v>Programming part 6 - Dictionaries and datafiles::41::Write data from a 2D list to a CSV file</v>
      </c>
      <c r="F317" s="68" t="s">
        <v>1944</v>
      </c>
      <c r="G317" s="68" t="s">
        <v>1713</v>
      </c>
      <c r="H317" s="68" t="s">
        <v>1087</v>
      </c>
    </row>
    <row r="318" spans="1:8" ht="13" x14ac:dyDescent="0.15">
      <c r="A318" s="68" t="s">
        <v>2056</v>
      </c>
      <c r="B318" s="68" t="s">
        <v>2378</v>
      </c>
      <c r="C318" s="68">
        <v>42</v>
      </c>
      <c r="D318" s="68" t="s">
        <v>2394</v>
      </c>
      <c r="E318" s="68" t="str">
        <f t="shared" si="4"/>
        <v>Programming part 6 - Dictionaries and datafiles::42::Determine the good habits of a programmer</v>
      </c>
      <c r="F318" s="68" t="s">
        <v>1944</v>
      </c>
      <c r="G318" s="68" t="s">
        <v>1781</v>
      </c>
      <c r="H318" s="68" t="s">
        <v>1087</v>
      </c>
    </row>
    <row r="319" spans="1:8" ht="13" x14ac:dyDescent="0.15">
      <c r="A319" s="68" t="s">
        <v>2056</v>
      </c>
      <c r="B319" s="68" t="s">
        <v>2378</v>
      </c>
      <c r="C319" s="68">
        <v>42</v>
      </c>
      <c r="D319" s="68" t="s">
        <v>2395</v>
      </c>
      <c r="E319" s="68" t="str">
        <f t="shared" si="4"/>
        <v>Programming part 6 - Dictionaries and datafiles::42::Explore alternative approaches to programming solutions</v>
      </c>
      <c r="F319" s="68" t="s">
        <v>1944</v>
      </c>
      <c r="G319" s="68" t="s">
        <v>1304</v>
      </c>
      <c r="H319" s="68" t="s">
        <v>1087</v>
      </c>
    </row>
    <row r="320" spans="1:8" ht="13" x14ac:dyDescent="0.15">
      <c r="A320" s="68" t="s">
        <v>2056</v>
      </c>
      <c r="B320" s="68" t="s">
        <v>2378</v>
      </c>
      <c r="C320" s="68">
        <v>42</v>
      </c>
      <c r="D320" s="68" t="s">
        <v>2396</v>
      </c>
      <c r="E320" s="68" t="str">
        <f t="shared" si="4"/>
        <v>Programming part 6 - Dictionaries and datafiles::42::Append to a CSV file</v>
      </c>
      <c r="F320" s="68" t="s">
        <v>1944</v>
      </c>
      <c r="G320" s="68" t="s">
        <v>1713</v>
      </c>
      <c r="H320" s="68" t="s">
        <v>1087</v>
      </c>
    </row>
    <row r="321" spans="1:8" ht="13" x14ac:dyDescent="0.15">
      <c r="A321" s="68" t="s">
        <v>2056</v>
      </c>
      <c r="B321" s="68" t="s">
        <v>2378</v>
      </c>
      <c r="C321" s="68">
        <v>43</v>
      </c>
      <c r="D321" s="68" t="s">
        <v>2397</v>
      </c>
      <c r="E321" s="68" t="str">
        <f t="shared" si="4"/>
        <v>Programming part 6 - Dictionaries and datafiles::43::Write success criteria for a challenging project</v>
      </c>
      <c r="F321" s="68" t="s">
        <v>1944</v>
      </c>
      <c r="G321" s="68" t="s">
        <v>1154</v>
      </c>
      <c r="H321" s="68" t="s">
        <v>1087</v>
      </c>
    </row>
    <row r="322" spans="1:8" ht="13" x14ac:dyDescent="0.15">
      <c r="A322" s="68" t="s">
        <v>2056</v>
      </c>
      <c r="B322" s="68" t="s">
        <v>2378</v>
      </c>
      <c r="C322" s="68">
        <v>44</v>
      </c>
      <c r="D322" s="68" t="s">
        <v>2398</v>
      </c>
      <c r="E322" s="68" t="str">
        <f t="shared" ref="E322:E325" si="5">B322&amp;"::"&amp;C322&amp;"::"&amp;D322</f>
        <v>Programming part 6 - Dictionaries and datafiles::44::Design the program for a challenging project using flowchart or pseudocode</v>
      </c>
      <c r="F322" s="68" t="s">
        <v>1944</v>
      </c>
      <c r="G322" s="68" t="s">
        <v>1157</v>
      </c>
      <c r="H322" s="68" t="s">
        <v>1087</v>
      </c>
    </row>
    <row r="323" spans="1:8" ht="13" x14ac:dyDescent="0.15">
      <c r="A323" s="68" t="s">
        <v>2056</v>
      </c>
      <c r="B323" s="68" t="s">
        <v>2378</v>
      </c>
      <c r="C323" s="68">
        <v>45</v>
      </c>
      <c r="D323" s="68" t="s">
        <v>2399</v>
      </c>
      <c r="E323" s="68" t="str">
        <f t="shared" si="5"/>
        <v>Programming part 6 - Dictionaries and datafiles::45::Create the solution for the battle boats program</v>
      </c>
      <c r="F323" s="68" t="s">
        <v>1944</v>
      </c>
      <c r="G323" s="68" t="s">
        <v>28</v>
      </c>
      <c r="H323" s="68" t="s">
        <v>1087</v>
      </c>
    </row>
    <row r="324" spans="1:8" ht="13" x14ac:dyDescent="0.15">
      <c r="A324" s="68" t="s">
        <v>2056</v>
      </c>
      <c r="B324" s="68" t="s">
        <v>2378</v>
      </c>
      <c r="C324" s="68">
        <v>49</v>
      </c>
      <c r="D324" s="68" t="s">
        <v>2400</v>
      </c>
      <c r="E324" s="68" t="str">
        <f t="shared" si="5"/>
        <v>Programming part 6 - Dictionaries and datafiles::49::Perform final testing of the solution to a challenging problem</v>
      </c>
      <c r="F324" s="68" t="s">
        <v>1944</v>
      </c>
      <c r="G324" s="68" t="s">
        <v>1154</v>
      </c>
      <c r="H324" s="68" t="s">
        <v>1087</v>
      </c>
    </row>
    <row r="325" spans="1:8" ht="13" x14ac:dyDescent="0.15">
      <c r="A325" s="68" t="s">
        <v>2056</v>
      </c>
      <c r="B325" s="68" t="s">
        <v>2378</v>
      </c>
      <c r="C325" s="68">
        <v>50</v>
      </c>
      <c r="D325" s="68" t="s">
        <v>2401</v>
      </c>
      <c r="E325" s="68" t="str">
        <f t="shared" si="5"/>
        <v>Programming part 6 - Dictionaries and datafiles::50::Evaluate a challenging program</v>
      </c>
      <c r="F325" s="68" t="s">
        <v>1944</v>
      </c>
      <c r="G325" s="68" t="s">
        <v>1154</v>
      </c>
      <c r="H325" s="68" t="s">
        <v>1087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Curriculum Map (KS4)</vt:lpstr>
      <vt:lpstr>KS4 (GCSE Units)</vt:lpstr>
      <vt:lpstr>KS4 (GCSE Specs)</vt:lpstr>
      <vt:lpstr>KS1 (1)</vt:lpstr>
      <vt:lpstr>KS2 (1)</vt:lpstr>
      <vt:lpstr>KS3 (1)</vt:lpstr>
      <vt:lpstr>KS4</vt:lpstr>
      <vt:lpstr>GCSE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Katie Sparks</cp:lastModifiedBy>
  <dcterms:created xsi:type="dcterms:W3CDTF">2022-09-15T08:26:18Z</dcterms:created>
  <dcterms:modified xsi:type="dcterms:W3CDTF">2022-09-15T08:51:06Z</dcterms:modified>
</cp:coreProperties>
</file>